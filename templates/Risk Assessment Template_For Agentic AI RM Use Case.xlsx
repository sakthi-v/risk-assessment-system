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mahipal.k\Documents\Practice Related\GEN AI Use Cases\Risk Management Use Case\"/>
    </mc:Choice>
  </mc:AlternateContent>
  <xr:revisionPtr revIDLastSave="0" documentId="13_ncr:1_{1AE08E43-A63A-4E54-BBFE-4D49E0270D5D}" xr6:coauthVersionLast="47" xr6:coauthVersionMax="47" xr10:uidLastSave="{00000000-0000-0000-0000-000000000000}"/>
  <bookViews>
    <workbookView xWindow="-110" yWindow="-110" windowWidth="19420" windowHeight="10300" firstSheet="3" activeTab="4" xr2:uid="{00000000-000D-0000-FFFF-FFFF00000000}"/>
  </bookViews>
  <sheets>
    <sheet name="Template Information" sheetId="23" r:id="rId1"/>
    <sheet name="Asset Inventorization Guideline" sheetId="15" r:id="rId2"/>
    <sheet name="Asset Inventory" sheetId="18" r:id="rId3"/>
    <sheet name="RA Methodology" sheetId="19" r:id="rId4"/>
    <sheet name="Risk Assessment" sheetId="9" r:id="rId5"/>
    <sheet name="Risk Treatment Plan" sheetId="11" r:id="rId6"/>
    <sheet name="Threat Vulnerability database" sheetId="20" r:id="rId7"/>
    <sheet name="Risk &amp; Threat Mapping" sheetId="22" r:id="rId8"/>
  </sheets>
  <externalReferences>
    <externalReference r:id="rId9"/>
    <externalReference r:id="rId10"/>
    <externalReference r:id="rId11"/>
    <externalReference r:id="rId12"/>
  </externalReferences>
  <definedNames>
    <definedName name="__a1" localSheetId="0">#REF!</definedName>
    <definedName name="__a1">#REF!</definedName>
    <definedName name="__rec32" localSheetId="0">#REF!</definedName>
    <definedName name="__rec32">#REF!</definedName>
    <definedName name="__rec37" localSheetId="0">#REF!</definedName>
    <definedName name="__rec37">#REF!</definedName>
    <definedName name="__rec52" localSheetId="0">#REF!</definedName>
    <definedName name="__rec52">#REF!</definedName>
    <definedName name="__rec53" localSheetId="0">#REF!</definedName>
    <definedName name="__rec53">#REF!</definedName>
    <definedName name="__rec60" localSheetId="0">#REF!</definedName>
    <definedName name="__rec60">#REF!</definedName>
    <definedName name="__rec86" localSheetId="0">#REF!</definedName>
    <definedName name="__rec86">#REF!</definedName>
    <definedName name="_1__Negligible" localSheetId="0">#REF!</definedName>
    <definedName name="_1__Negligible">#REF!</definedName>
    <definedName name="_a1" localSheetId="0">#REF!</definedName>
    <definedName name="_a1">#REF!</definedName>
    <definedName name="_a2" localSheetId="0">#REF!</definedName>
    <definedName name="_a2">#REF!</definedName>
    <definedName name="_rec32" localSheetId="0">#REF!</definedName>
    <definedName name="_rec32">#REF!</definedName>
    <definedName name="_rec33" localSheetId="0">#REF!</definedName>
    <definedName name="_rec33">#REF!</definedName>
    <definedName name="_rec37" localSheetId="0">#REF!</definedName>
    <definedName name="_rec37">#REF!</definedName>
    <definedName name="_rec52" localSheetId="0">#REF!</definedName>
    <definedName name="_rec52">#REF!</definedName>
    <definedName name="_rec53" localSheetId="0">#REF!</definedName>
    <definedName name="_rec53">#REF!</definedName>
    <definedName name="_rec60" localSheetId="0">#REF!</definedName>
    <definedName name="_rec60">#REF!</definedName>
    <definedName name="_rec86" localSheetId="0">#REF!</definedName>
    <definedName name="_rec86">#REF!</definedName>
    <definedName name="a" localSheetId="0">#REF!</definedName>
    <definedName name="a">#REF!</definedName>
    <definedName name="aa" localSheetId="0">#REF!</definedName>
    <definedName name="aa">#REF!</definedName>
    <definedName name="Access.Control.System.Malfunction.OR.Failure" localSheetId="3">[1]VulRepo!#REF!</definedName>
    <definedName name="Access.Control.System.Malfunction.OR.Failure" localSheetId="0">[1]VulRepo!#REF!</definedName>
    <definedName name="Access.Control.System.Malfunction.OR.Failure">[1]VulRepo!#REF!</definedName>
    <definedName name="Acoustic.Shocks" localSheetId="3">[1]VulRepo!#REF!</definedName>
    <definedName name="Acoustic.Shocks" localSheetId="0">[1]VulRepo!#REF!</definedName>
    <definedName name="Acoustic.Shocks">[1]VulRepo!#REF!</definedName>
    <definedName name="Actuarial" localSheetId="3">#REF!</definedName>
    <definedName name="Actuarial" localSheetId="0">#REF!</definedName>
    <definedName name="Actuarial">#REF!</definedName>
    <definedName name="Actuarial_Hard_Copy_Business_Confidential" localSheetId="3">#REF!</definedName>
    <definedName name="Actuarial_Hard_Copy_Business_Confidential" localSheetId="0">#REF!</definedName>
    <definedName name="Actuarial_Hard_Copy_Business_Confidential">#REF!</definedName>
    <definedName name="Actuarial_People_Business_Private" localSheetId="3">#REF!</definedName>
    <definedName name="Actuarial_People_Business_Private" localSheetId="0">#REF!</definedName>
    <definedName name="Actuarial_People_Business_Private">#REF!</definedName>
    <definedName name="Actuarial_People_Public" localSheetId="3">#REF!</definedName>
    <definedName name="Actuarial_People_Public" localSheetId="0">#REF!</definedName>
    <definedName name="Actuarial_People_Public">#REF!</definedName>
    <definedName name="Actuarial_Soft_Copy_Business_Confidential" localSheetId="3">#REF!</definedName>
    <definedName name="Actuarial_Soft_Copy_Business_Confidential" localSheetId="0">#REF!</definedName>
    <definedName name="Actuarial_Soft_Copy_Business_Confidential">#REF!</definedName>
    <definedName name="Actuarial_Software_Business_Secret" localSheetId="3">#REF!</definedName>
    <definedName name="Actuarial_Software_Business_Secret" localSheetId="0">#REF!</definedName>
    <definedName name="Actuarial_Software_Business_Secret">#REF!</definedName>
    <definedName name="Actuariala" localSheetId="3">#REF!</definedName>
    <definedName name="Actuariala" localSheetId="0">#REF!</definedName>
    <definedName name="Actuariala">#REF!</definedName>
    <definedName name="Agency" localSheetId="3">#REF!</definedName>
    <definedName name="Agency" localSheetId="0">#REF!</definedName>
    <definedName name="Agency">#REF!</definedName>
    <definedName name="Agency_People_Business_Private" localSheetId="3">#REF!</definedName>
    <definedName name="Agency_People_Business_Private" localSheetId="0">#REF!</definedName>
    <definedName name="Agency_People_Business_Private">#REF!</definedName>
    <definedName name="Agency_People_Business_Secret" localSheetId="3">#REF!</definedName>
    <definedName name="Agency_People_Business_Secret" localSheetId="0">#REF!</definedName>
    <definedName name="Agency_People_Business_Secret">#REF!</definedName>
    <definedName name="Agency_People_Public" localSheetId="3">#REF!</definedName>
    <definedName name="Agency_People_Public" localSheetId="0">#REF!</definedName>
    <definedName name="Agency_People_Public">#REF!</definedName>
    <definedName name="Agency_Soft_Copy_Business_Confidential" localSheetId="3">#REF!</definedName>
    <definedName name="Agency_Soft_Copy_Business_Confidential" localSheetId="0">#REF!</definedName>
    <definedName name="Agency_Soft_Copy_Business_Confidential">#REF!</definedName>
    <definedName name="Agencya" localSheetId="3">#REF!</definedName>
    <definedName name="Agencya" localSheetId="0">#REF!</definedName>
    <definedName name="Agencya">#REF!</definedName>
    <definedName name="Air_Conditioning" localSheetId="3">#REF!</definedName>
    <definedName name="Air_Conditioning" localSheetId="0">#REF!</definedName>
    <definedName name="Air_Conditioning">#REF!</definedName>
    <definedName name="Airborne.Particles.or.Dust" localSheetId="3">[1]VulRepo!#REF!</definedName>
    <definedName name="Airborne.Particles.or.Dust" localSheetId="0">[1]VulRepo!#REF!</definedName>
    <definedName name="Airborne.Particles.or.Dust">[1]VulRepo!#REF!</definedName>
    <definedName name="AirConditioning.Malfunction.OR.Failure" localSheetId="3">[1]VulRepo!#REF!</definedName>
    <definedName name="AirConditioning.Malfunction.OR.Failure" localSheetId="0">[1]VulRepo!#REF!</definedName>
    <definedName name="AirConditioning.Malfunction.OR.Failure">[1]VulRepo!#REF!</definedName>
    <definedName name="Application_Software" localSheetId="3">#REF!</definedName>
    <definedName name="Application_Software" localSheetId="0">#REF!</definedName>
    <definedName name="Application_Software">#REF!</definedName>
    <definedName name="asdas" localSheetId="0">#REF!</definedName>
    <definedName name="asdas">#REF!</definedName>
    <definedName name="asdfdasd" localSheetId="0">#REF!</definedName>
    <definedName name="asdfdasd">#REF!</definedName>
    <definedName name="aw" localSheetId="0">#REF!</definedName>
    <definedName name="aw">#REF!</definedName>
    <definedName name="Axisa" localSheetId="3">#REF!</definedName>
    <definedName name="Axisa" localSheetId="0">#REF!</definedName>
    <definedName name="Axisa">#REF!</definedName>
    <definedName name="Bancassurance" localSheetId="3">#REF!</definedName>
    <definedName name="Bancassurance" localSheetId="0">#REF!</definedName>
    <definedName name="Bancassurance">#REF!</definedName>
    <definedName name="Bancassurance_Soft_Copy_Business_Private" localSheetId="3">#REF!</definedName>
    <definedName name="Bancassurance_Soft_Copy_Business_Private" localSheetId="0">#REF!</definedName>
    <definedName name="Bancassurance_Soft_Copy_Business_Private">#REF!</definedName>
    <definedName name="Bancassurance_Soft_Copy_Business_Secret" localSheetId="3">#REF!</definedName>
    <definedName name="Bancassurance_Soft_Copy_Business_Secret" localSheetId="0">#REF!</definedName>
    <definedName name="Bancassurance_Soft_Copy_Business_Secret">#REF!</definedName>
    <definedName name="Bancassurancea" localSheetId="3">#REF!</definedName>
    <definedName name="Bancassurancea" localSheetId="0">#REF!</definedName>
    <definedName name="Bancassurancea">#REF!</definedName>
    <definedName name="BI_DWa" localSheetId="3">#REF!</definedName>
    <definedName name="BI_DWa" localSheetId="0">#REF!</definedName>
    <definedName name="BI_DWa">#REF!</definedName>
    <definedName name="Blackberry_devices" localSheetId="3">#REF!</definedName>
    <definedName name="Blackberry_devices" localSheetId="0">#REF!</definedName>
    <definedName name="Blackberry_devices">#REF!</definedName>
    <definedName name="Bomb.Attack" localSheetId="3">[1]VulRepo!#REF!</definedName>
    <definedName name="Bomb.Attack" localSheetId="0">[1]VulRepo!#REF!</definedName>
    <definedName name="Bomb.Attack">[1]VulRepo!#REF!</definedName>
    <definedName name="Breach.of.contractual.obligations" localSheetId="3">[1]VulRepo!#REF!</definedName>
    <definedName name="Breach.of.contractual.obligations" localSheetId="0">[1]VulRepo!#REF!</definedName>
    <definedName name="Breach.of.contractual.obligations">[1]VulRepo!#REF!</definedName>
    <definedName name="BruteForce.Attack" localSheetId="3">[1]VulRepo!#REF!</definedName>
    <definedName name="BruteForce.Attack" localSheetId="0">[1]VulRepo!#REF!</definedName>
    <definedName name="BruteForce.Attack">[1]VulRepo!#REF!</definedName>
    <definedName name="CAT" localSheetId="3">#REF!</definedName>
    <definedName name="CAT" localSheetId="0">#REF!</definedName>
    <definedName name="CAT">#REF!</definedName>
    <definedName name="CAT_Hard_Copy_Business_Confidential" localSheetId="3">#REF!</definedName>
    <definedName name="CAT_Hard_Copy_Business_Confidential" localSheetId="0">#REF!</definedName>
    <definedName name="CAT_Hard_Copy_Business_Confidential">#REF!</definedName>
    <definedName name="CAT_Hardware_Business_Private" localSheetId="3">#REF!</definedName>
    <definedName name="CAT_Hardware_Business_Private" localSheetId="0">#REF!</definedName>
    <definedName name="CAT_Hardware_Business_Private">#REF!</definedName>
    <definedName name="CAT_People_Business_Private" localSheetId="3">#REF!</definedName>
    <definedName name="CAT_People_Business_Private" localSheetId="0">#REF!</definedName>
    <definedName name="CAT_People_Business_Private">#REF!</definedName>
    <definedName name="CAT_Services_Business_Secret" localSheetId="3">#REF!</definedName>
    <definedName name="CAT_Services_Business_Secret" localSheetId="0">#REF!</definedName>
    <definedName name="CAT_Services_Business_Secret">#REF!</definedName>
    <definedName name="CAT_Soft_Copy_Business_Confidential" localSheetId="3">#REF!</definedName>
    <definedName name="CAT_Soft_Copy_Business_Confidential" localSheetId="0">#REF!</definedName>
    <definedName name="CAT_Soft_Copy_Business_Confidential">#REF!</definedName>
    <definedName name="CAT_Soft_Copy_Business_Private" localSheetId="3">#REF!</definedName>
    <definedName name="CAT_Soft_Copy_Business_Private" localSheetId="0">#REF!</definedName>
    <definedName name="CAT_Soft_Copy_Business_Private">#REF!</definedName>
    <definedName name="CATa" localSheetId="3">#REF!</definedName>
    <definedName name="CATa" localSheetId="0">#REF!</definedName>
    <definedName name="CATa">#REF!</definedName>
    <definedName name="CCTV.malfunction.or.failure" localSheetId="3">[1]VulRepo!#REF!</definedName>
    <definedName name="CCTV.malfunction.or.failure" localSheetId="0">[1]VulRepo!#REF!</definedName>
    <definedName name="CCTV.malfunction.or.failure">[1]VulRepo!#REF!</definedName>
    <definedName name="Claims" localSheetId="3">#REF!</definedName>
    <definedName name="Claims" localSheetId="0">#REF!</definedName>
    <definedName name="Claims">#REF!</definedName>
    <definedName name="Claims_Hard_Copy_Business_Confidential" localSheetId="3">#REF!</definedName>
    <definedName name="Claims_Hard_Copy_Business_Confidential" localSheetId="0">#REF!</definedName>
    <definedName name="Claims_Hard_Copy_Business_Confidential">#REF!</definedName>
    <definedName name="Claims_Hard_Copy_Business_Private" localSheetId="3">#REF!</definedName>
    <definedName name="Claims_Hard_Copy_Business_Private" localSheetId="0">#REF!</definedName>
    <definedName name="Claims_Hard_Copy_Business_Private">#REF!</definedName>
    <definedName name="Claims_Hard_Copy_Business_Secret" localSheetId="3">#REF!</definedName>
    <definedName name="Claims_Hard_Copy_Business_Secret" localSheetId="0">#REF!</definedName>
    <definedName name="Claims_Hard_Copy_Business_Secret">#REF!</definedName>
    <definedName name="Claims_People_Business_Confidential" localSheetId="3">#REF!</definedName>
    <definedName name="Claims_People_Business_Confidential" localSheetId="0">#REF!</definedName>
    <definedName name="Claims_People_Business_Confidential">#REF!</definedName>
    <definedName name="Claims_People_Business_Private" localSheetId="3">#REF!</definedName>
    <definedName name="Claims_People_Business_Private" localSheetId="0">#REF!</definedName>
    <definedName name="Claims_People_Business_Private">#REF!</definedName>
    <definedName name="Claims_People_Business_Secret" localSheetId="3">#REF!</definedName>
    <definedName name="Claims_People_Business_Secret" localSheetId="0">#REF!</definedName>
    <definedName name="Claims_People_Business_Secret">#REF!</definedName>
    <definedName name="Claims_People_Public" localSheetId="3">#REF!</definedName>
    <definedName name="Claims_People_Public" localSheetId="0">#REF!</definedName>
    <definedName name="Claims_People_Public">#REF!</definedName>
    <definedName name="Claims_Soft_Copy_Business_Confidential" localSheetId="3">#REF!</definedName>
    <definedName name="Claims_Soft_Copy_Business_Confidential" localSheetId="0">#REF!</definedName>
    <definedName name="Claims_Soft_Copy_Business_Confidential">#REF!</definedName>
    <definedName name="Claims_Soft_Copy_Business_Private" localSheetId="3">#REF!</definedName>
    <definedName name="Claims_Soft_Copy_Business_Private" localSheetId="0">#REF!</definedName>
    <definedName name="Claims_Soft_Copy_Business_Private">#REF!</definedName>
    <definedName name="Claims_Soft_Copy_Business_Secret" localSheetId="3">#REF!</definedName>
    <definedName name="Claims_Soft_Copy_Business_Secret" localSheetId="0">#REF!</definedName>
    <definedName name="Claims_Soft_Copy_Business_Secret">#REF!</definedName>
    <definedName name="Claims_Soft_Copy_Public" localSheetId="3">#REF!</definedName>
    <definedName name="Claims_Soft_Copy_Public" localSheetId="0">#REF!</definedName>
    <definedName name="Claims_Soft_Copy_Public">#REF!</definedName>
    <definedName name="Claimsa" localSheetId="3">#REF!</definedName>
    <definedName name="Claimsa" localSheetId="0">#REF!</definedName>
    <definedName name="Claimsa">#REF!</definedName>
    <definedName name="Communal.Riots" localSheetId="3">[1]VulRepo!#REF!</definedName>
    <definedName name="Communal.Riots" localSheetId="0">[1]VulRepo!#REF!</definedName>
    <definedName name="Communal.Riots">[1]VulRepo!#REF!</definedName>
    <definedName name="Communication_Link" localSheetId="3">#REF!</definedName>
    <definedName name="Communication_Link" localSheetId="0">#REF!</definedName>
    <definedName name="Communication_Link">#REF!</definedName>
    <definedName name="Complaince">'[2]Pick Menus'!$C$15:$C$18</definedName>
    <definedName name="compliance">'[3]Pick Menus'!$C$15:$C$18</definedName>
    <definedName name="Data.corruption" localSheetId="3">[1]VulRepo!#REF!</definedName>
    <definedName name="Data.corruption" localSheetId="0">[1]VulRepo!#REF!</definedName>
    <definedName name="Data.corruption">[1]VulRepo!#REF!</definedName>
    <definedName name="Data_in_Assyst" localSheetId="3">#REF!</definedName>
    <definedName name="Data_in_Assyst" localSheetId="0">#REF!</definedName>
    <definedName name="Data_in_Assyst">#REF!</definedName>
    <definedName name="Data_in_Contractor_Management___Performance_Monitoring_Application" localSheetId="3">#REF!</definedName>
    <definedName name="Data_in_Contractor_Management___Performance_Monitoring_Application" localSheetId="0">#REF!</definedName>
    <definedName name="Data_in_Contractor_Management___Performance_Monitoring_Application">#REF!</definedName>
    <definedName name="Data_in_Cost_Manager" localSheetId="3">#REF!</definedName>
    <definedName name="Data_in_Cost_Manager" localSheetId="0">#REF!</definedName>
    <definedName name="Data_in_Cost_Manager">#REF!</definedName>
    <definedName name="Data_in_Documentum___Mclaren" localSheetId="3">#REF!</definedName>
    <definedName name="Data_in_Documentum___Mclaren" localSheetId="0">#REF!</definedName>
    <definedName name="Data_in_Documentum___Mclaren">#REF!</definedName>
    <definedName name="Data_in_Enterprise_Software" localSheetId="3">#REF!</definedName>
    <definedName name="Data_in_Enterprise_Software" localSheetId="0">#REF!</definedName>
    <definedName name="Data_in_Enterprise_Software">#REF!</definedName>
    <definedName name="Data_in_MOODS" localSheetId="3">#REF!</definedName>
    <definedName name="Data_in_MOODS" localSheetId="0">#REF!</definedName>
    <definedName name="Data_in_MOODS">#REF!</definedName>
    <definedName name="Data_in_MS_SMS_Application" localSheetId="3">#REF!</definedName>
    <definedName name="Data_in_MS_SMS_Application" localSheetId="0">#REF!</definedName>
    <definedName name="Data_in_MS_SMS_Application">#REF!</definedName>
    <definedName name="Data_in_PAWS" localSheetId="3">#REF!</definedName>
    <definedName name="Data_in_PAWS" localSheetId="0">#REF!</definedName>
    <definedName name="Data_in_PAWS">#REF!</definedName>
    <definedName name="Data_in_PIMS" localSheetId="3">#REF!</definedName>
    <definedName name="Data_in_PIMS" localSheetId="0">#REF!</definedName>
    <definedName name="Data_in_PIMS">#REF!</definedName>
    <definedName name="Data_in_Portal_Application" localSheetId="3">#REF!</definedName>
    <definedName name="Data_in_Portal_Application" localSheetId="0">#REF!</definedName>
    <definedName name="Data_in_Portal_Application">#REF!</definedName>
    <definedName name="Data_in_SAP" localSheetId="3">#REF!</definedName>
    <definedName name="Data_in_SAP" localSheetId="0">#REF!</definedName>
    <definedName name="Data_in_SAP">#REF!</definedName>
    <definedName name="Data_in_Sharpowl_Application_Suite" localSheetId="3">#REF!</definedName>
    <definedName name="Data_in_Sharpowl_Application_Suite" localSheetId="0">#REF!</definedName>
    <definedName name="Data_in_Sharpowl_Application_Suite">#REF!</definedName>
    <definedName name="Data_in_Sun_Application_Suite" localSheetId="3">#REF!</definedName>
    <definedName name="Data_in_Sun_Application_Suite" localSheetId="0">#REF!</definedName>
    <definedName name="Data_in_Sun_Application_Suite">#REF!</definedName>
    <definedName name="Database_Software" localSheetId="3">#REF!</definedName>
    <definedName name="Database_Software" localSheetId="0">#REF!</definedName>
    <definedName name="Database_Software">#REF!</definedName>
    <definedName name="DCOa" localSheetId="3">#REF!</definedName>
    <definedName name="DCOa" localSheetId="0">#REF!</definedName>
    <definedName name="DCOa">#REF!</definedName>
    <definedName name="dd" localSheetId="0">#REF!</definedName>
    <definedName name="dd">#REF!</definedName>
    <definedName name="Delay.in.providing.first.aid.medication" localSheetId="3">[1]VulRepo!#REF!</definedName>
    <definedName name="Delay.in.providing.first.aid.medication" localSheetId="0">[1]VulRepo!#REF!</definedName>
    <definedName name="Delay.in.providing.first.aid.medication">[1]VulRepo!#REF!</definedName>
    <definedName name="Delayed.Response.to.security.events.weaknesses" localSheetId="3">[1]VulRepo!#REF!</definedName>
    <definedName name="Delayed.Response.to.security.events.weaknesses" localSheetId="0">[1]VulRepo!#REF!</definedName>
    <definedName name="Delayed.Response.to.security.events.weaknesses">[1]VulRepo!#REF!</definedName>
    <definedName name="Denial.of.Service" localSheetId="3">[1]VulRepo!#REF!</definedName>
    <definedName name="Denial.of.Service" localSheetId="0">[1]VulRepo!#REF!</definedName>
    <definedName name="Denial.of.Service">[1]VulRepo!#REF!</definedName>
    <definedName name="Department" localSheetId="3">#REF!</definedName>
    <definedName name="Department" localSheetId="0">#REF!</definedName>
    <definedName name="Department">#REF!</definedName>
    <definedName name="DEPT" localSheetId="3">#REF!</definedName>
    <definedName name="DEPT" localSheetId="0">#REF!</definedName>
    <definedName name="DEPT">#REF!</definedName>
    <definedName name="Desktops" localSheetId="3">#REF!</definedName>
    <definedName name="Desktops" localSheetId="0">#REF!</definedName>
    <definedName name="Desktops">#REF!</definedName>
    <definedName name="Development_Application_Servers" localSheetId="3">#REF!</definedName>
    <definedName name="Development_Application_Servers" localSheetId="0">#REF!</definedName>
    <definedName name="Development_Application_Servers">#REF!</definedName>
    <definedName name="Electrical.shocks" localSheetId="3">[1]VulRepo!#REF!</definedName>
    <definedName name="Electrical.shocks" localSheetId="0">[1]VulRepo!#REF!</definedName>
    <definedName name="Electrical.shocks">[1]VulRepo!#REF!</definedName>
    <definedName name="Employees.absence.due.to.illness.or.death" localSheetId="3">[1]VulRepo!#REF!</definedName>
    <definedName name="Employees.absence.due.to.illness.or.death" localSheetId="0">[1]VulRepo!#REF!</definedName>
    <definedName name="Employees.absence.due.to.illness.or.death">[1]VulRepo!#REF!</definedName>
    <definedName name="End_User_peripherals" localSheetId="3">#REF!</definedName>
    <definedName name="End_User_peripherals" localSheetId="0">#REF!</definedName>
    <definedName name="End_User_peripherals">#REF!</definedName>
    <definedName name="Enterprise_Application_Software" localSheetId="3">#REF!</definedName>
    <definedName name="Enterprise_Application_Software" localSheetId="0">#REF!</definedName>
    <definedName name="Enterprise_Application_Software">#REF!</definedName>
    <definedName name="Excessive.usage.of.scheduled.drugs.without.proper.consultation" localSheetId="3">[1]VulRepo!#REF!</definedName>
    <definedName name="Excessive.usage.of.scheduled.drugs.without.proper.consultation" localSheetId="0">[1]VulRepo!#REF!</definedName>
    <definedName name="Excessive.usage.of.scheduled.drugs.without.proper.consultation">[1]VulRepo!#REF!</definedName>
    <definedName name="Extended.Downtime" localSheetId="3">[1]VulRepo!#REF!</definedName>
    <definedName name="Extended.Downtime" localSheetId="0">[1]VulRepo!#REF!</definedName>
    <definedName name="Extended.Downtime">[1]VulRepo!#REF!</definedName>
    <definedName name="Extended.downtime.for.Commumnication.Link" localSheetId="3">[1]VulRepo!#REF!</definedName>
    <definedName name="Extended.downtime.for.Commumnication.Link" localSheetId="0">[1]VulRepo!#REF!</definedName>
    <definedName name="Extended.downtime.for.Commumnication.Link">[1]VulRepo!#REF!</definedName>
    <definedName name="External_network_equipment" localSheetId="3">#REF!</definedName>
    <definedName name="External_network_equipment" localSheetId="0">#REF!</definedName>
    <definedName name="External_network_equipment">#REF!</definedName>
    <definedName name="External_Network_Security_equipment" localSheetId="3">#REF!</definedName>
    <definedName name="External_Network_Security_equipment" localSheetId="0">#REF!</definedName>
    <definedName name="External_Network_Security_equipment">#REF!</definedName>
    <definedName name="Facilitiesa" localSheetId="3">#REF!</definedName>
    <definedName name="Facilitiesa" localSheetId="0">#REF!</definedName>
    <definedName name="Facilitiesa">#REF!</definedName>
    <definedName name="FINAL" localSheetId="0">#REF!</definedName>
    <definedName name="FINAL">#REF!</definedName>
    <definedName name="Finance" localSheetId="3">#REF!</definedName>
    <definedName name="Finance" localSheetId="0">#REF!</definedName>
    <definedName name="Finance">#REF!</definedName>
    <definedName name="Finance_People_Business_Private" localSheetId="3">#REF!</definedName>
    <definedName name="Finance_People_Business_Private" localSheetId="0">#REF!</definedName>
    <definedName name="Finance_People_Business_Private">#REF!</definedName>
    <definedName name="Finance_People_Business_Secret" localSheetId="3">#REF!</definedName>
    <definedName name="Finance_People_Business_Secret" localSheetId="0">#REF!</definedName>
    <definedName name="Finance_People_Business_Secret">#REF!</definedName>
    <definedName name="Finance_People_Public" localSheetId="3">#REF!</definedName>
    <definedName name="Finance_People_Public" localSheetId="0">#REF!</definedName>
    <definedName name="Finance_People_Public">#REF!</definedName>
    <definedName name="Finance_Soft_Copy_Business_Confidential" localSheetId="3">#REF!</definedName>
    <definedName name="Finance_Soft_Copy_Business_Confidential" localSheetId="0">#REF!</definedName>
    <definedName name="Finance_Soft_Copy_Business_Confidential">#REF!</definedName>
    <definedName name="Financea" localSheetId="3">#REF!</definedName>
    <definedName name="Financea" localSheetId="0">#REF!</definedName>
    <definedName name="Financea">#REF!</definedName>
    <definedName name="Financial_Service_Software" localSheetId="3">#REF!</definedName>
    <definedName name="Financial_Service_Software" localSheetId="0">#REF!</definedName>
    <definedName name="Financial_Service_Software">#REF!</definedName>
    <definedName name="Fire_Fighting_equipment" localSheetId="3">#REF!</definedName>
    <definedName name="Fire_Fighting_equipment" localSheetId="0">#REF!</definedName>
    <definedName name="Fire_Fighting_equipment">#REF!</definedName>
    <definedName name="g" localSheetId="0">#REF!</definedName>
    <definedName name="g">#REF!</definedName>
    <definedName name="Hacking" localSheetId="3">[1]VulRepo!#REF!</definedName>
    <definedName name="Hacking" localSheetId="0">[1]VulRepo!#REF!</definedName>
    <definedName name="Hacking">[1]VulRepo!#REF!</definedName>
    <definedName name="Hard_Copy_Documents" localSheetId="3">#REF!</definedName>
    <definedName name="Hard_Copy_Documents" localSheetId="0">#REF!</definedName>
    <definedName name="Hard_Copy_Documents">#REF!</definedName>
    <definedName name="HelloTunesGJC1" localSheetId="0">#REF!</definedName>
    <definedName name="HelloTunesGJC1">#REF!</definedName>
    <definedName name="HelloTunesGJC2" localSheetId="0">#REF!</definedName>
    <definedName name="HelloTunesGJC2">#REF!</definedName>
    <definedName name="hh" localSheetId="0">#REF!</definedName>
    <definedName name="hh">#REF!</definedName>
    <definedName name="hi" localSheetId="0">#REF!</definedName>
    <definedName name="hi">#REF!</definedName>
    <definedName name="Host_security_Software" localSheetId="3">#REF!</definedName>
    <definedName name="Host_security_Software" localSheetId="0">#REF!</definedName>
    <definedName name="Host_security_Software">#REF!</definedName>
    <definedName name="Host_security_Software_" localSheetId="3">#REF!</definedName>
    <definedName name="Host_security_Software_" localSheetId="0">#REF!</definedName>
    <definedName name="Host_security_Software_">#REF!</definedName>
    <definedName name="HRa" localSheetId="3">#REF!</definedName>
    <definedName name="HRa" localSheetId="0">#REF!</definedName>
    <definedName name="HRa">#REF!</definedName>
    <definedName name="Hurricane" localSheetId="3">[1]VulRepo!#REF!</definedName>
    <definedName name="Hurricane" localSheetId="0">[1]VulRepo!#REF!</definedName>
    <definedName name="Hurricane">[1]VulRepo!#REF!</definedName>
    <definedName name="Inability.of.communication.or.data.links.to.take.requisite.amount.of.load" localSheetId="3">[1]VulRepo!#REF!</definedName>
    <definedName name="Inability.of.communication.or.data.links.to.take.requisite.amount.of.load" localSheetId="0">[1]VulRepo!#REF!</definedName>
    <definedName name="Inability.of.communication.or.data.links.to.take.requisite.amount.of.load">[1]VulRepo!#REF!</definedName>
    <definedName name="Inability.of.servers.OR.devices.to.handle.OR.process.data" localSheetId="3">[1]VulRepo!#REF!</definedName>
    <definedName name="Inability.of.servers.OR.devices.to.handle.OR.process.data" localSheetId="0">[1]VulRepo!#REF!</definedName>
    <definedName name="Inability.of.servers.OR.devices.to.handle.OR.process.data">[1]VulRepo!#REF!</definedName>
    <definedName name="Inability.to.carry.out.root.cause.analysis" localSheetId="3">[1]VulRepo!#REF!</definedName>
    <definedName name="Inability.to.carry.out.root.cause.analysis" localSheetId="0">[1]VulRepo!#REF!</definedName>
    <definedName name="Inability.to.carry.out.root.cause.analysis">[1]VulRepo!#REF!</definedName>
    <definedName name="Inability.to.detect.movement.of.rodents.in.secure.area" localSheetId="3">[1]VulRepo!#REF!</definedName>
    <definedName name="Inability.to.detect.movement.of.rodents.in.secure.area" localSheetId="0">[1]VulRepo!#REF!</definedName>
    <definedName name="Inability.to.detect.movement.of.rodents.in.secure.area">[1]VulRepo!#REF!</definedName>
    <definedName name="Info_Seca" localSheetId="3">#REF!</definedName>
    <definedName name="Info_Seca" localSheetId="0">#REF!</definedName>
    <definedName name="Info_Seca">#REF!</definedName>
    <definedName name="Infrastructure_Servers" localSheetId="3">#REF!</definedName>
    <definedName name="Infrastructure_Servers" localSheetId="0">#REF!</definedName>
    <definedName name="Infrastructure_Servers">#REF!</definedName>
    <definedName name="Ingeniuma" localSheetId="3">#REF!</definedName>
    <definedName name="Ingeniuma" localSheetId="0">#REF!</definedName>
    <definedName name="Ingeniuma">#REF!</definedName>
    <definedName name="Internal_Audit" localSheetId="3">#REF!</definedName>
    <definedName name="Internal_Audit" localSheetId="0">#REF!</definedName>
    <definedName name="Internal_Audit">#REF!</definedName>
    <definedName name="Internal_Audit_Hard_Copy_Business_Private" localSheetId="3">#REF!</definedName>
    <definedName name="Internal_Audit_Hard_Copy_Business_Private" localSheetId="0">#REF!</definedName>
    <definedName name="Internal_Audit_Hard_Copy_Business_Private">#REF!</definedName>
    <definedName name="Internal_Audit_People_Business_Private" localSheetId="3">#REF!</definedName>
    <definedName name="Internal_Audit_People_Business_Private" localSheetId="0">#REF!</definedName>
    <definedName name="Internal_Audit_People_Business_Private">#REF!</definedName>
    <definedName name="Internal_Audit_People_Public" localSheetId="3">#REF!</definedName>
    <definedName name="Internal_Audit_People_Public" localSheetId="0">#REF!</definedName>
    <definedName name="Internal_Audit_People_Public">#REF!</definedName>
    <definedName name="Internal_Audit_Soft_Copy_Business_Confidential" localSheetId="3">#REF!</definedName>
    <definedName name="Internal_Audit_Soft_Copy_Business_Confidential" localSheetId="0">#REF!</definedName>
    <definedName name="Internal_Audit_Soft_Copy_Business_Confidential">#REF!</definedName>
    <definedName name="Internal_Audit_Soft_Copy_Business_Private" localSheetId="3">#REF!</definedName>
    <definedName name="Internal_Audit_Soft_Copy_Business_Private" localSheetId="0">#REF!</definedName>
    <definedName name="Internal_Audit_Soft_Copy_Business_Private">#REF!</definedName>
    <definedName name="Internal_Audit_Software_Business_Confidential" localSheetId="3">#REF!</definedName>
    <definedName name="Internal_Audit_Software_Business_Confidential" localSheetId="0">#REF!</definedName>
    <definedName name="Internal_Audit_Software_Business_Confidential">#REF!</definedName>
    <definedName name="Internal_Audita" localSheetId="3">#REF!</definedName>
    <definedName name="Internal_Audita" localSheetId="0">#REF!</definedName>
    <definedName name="Internal_Audita">#REF!</definedName>
    <definedName name="Internal_network_equipment" localSheetId="3">#REF!</definedName>
    <definedName name="Internal_network_equipment" localSheetId="0">#REF!</definedName>
    <definedName name="Internal_network_equipment">#REF!</definedName>
    <definedName name="Internal_Network_Security_equipment" localSheetId="3">#REF!</definedName>
    <definedName name="Internal_Network_Security_equipment" localSheetId="0">#REF!</definedName>
    <definedName name="Internal_Network_Security_equipment">#REF!</definedName>
    <definedName name="Investments" localSheetId="3">#REF!</definedName>
    <definedName name="Investments" localSheetId="0">#REF!</definedName>
    <definedName name="Investments">#REF!</definedName>
    <definedName name="Investments_Hard_Copy_Business_Private" localSheetId="3">#REF!</definedName>
    <definedName name="Investments_Hard_Copy_Business_Private" localSheetId="0">#REF!</definedName>
    <definedName name="Investments_Hard_Copy_Business_Private">#REF!</definedName>
    <definedName name="Investments_Hard_Copy_Business_Secret" localSheetId="3">#REF!</definedName>
    <definedName name="Investments_Hard_Copy_Business_Secret" localSheetId="0">#REF!</definedName>
    <definedName name="Investments_Hard_Copy_Business_Secret">#REF!</definedName>
    <definedName name="Investments_Hardware_Business_Confidential" localSheetId="3">#REF!</definedName>
    <definedName name="Investments_Hardware_Business_Confidential" localSheetId="0">#REF!</definedName>
    <definedName name="Investments_Hardware_Business_Confidential">#REF!</definedName>
    <definedName name="Investments_Hardware_Business_Private" localSheetId="3">#REF!</definedName>
    <definedName name="Investments_Hardware_Business_Private" localSheetId="0">#REF!</definedName>
    <definedName name="Investments_Hardware_Business_Private">#REF!</definedName>
    <definedName name="Investments_Hardware_Public" localSheetId="3">#REF!</definedName>
    <definedName name="Investments_Hardware_Public" localSheetId="0">#REF!</definedName>
    <definedName name="Investments_Hardware_Public">#REF!</definedName>
    <definedName name="Investments_People_Business_Private" localSheetId="3">#REF!</definedName>
    <definedName name="Investments_People_Business_Private" localSheetId="0">#REF!</definedName>
    <definedName name="Investments_People_Business_Private">#REF!</definedName>
    <definedName name="Investments_People_Business_Secret" localSheetId="3">#REF!</definedName>
    <definedName name="Investments_People_Business_Secret" localSheetId="0">#REF!</definedName>
    <definedName name="Investments_People_Business_Secret">#REF!</definedName>
    <definedName name="Investments_Soft_Copy_Business_Confidential" localSheetId="3">#REF!</definedName>
    <definedName name="Investments_Soft_Copy_Business_Confidential" localSheetId="0">#REF!</definedName>
    <definedName name="Investments_Soft_Copy_Business_Confidential">#REF!</definedName>
    <definedName name="Investments_Soft_Copy_Business_Private" localSheetId="3">#REF!</definedName>
    <definedName name="Investments_Soft_Copy_Business_Private" localSheetId="0">#REF!</definedName>
    <definedName name="Investments_Soft_Copy_Business_Private">#REF!</definedName>
    <definedName name="Investments_Software_Business_Private" localSheetId="3">#REF!</definedName>
    <definedName name="Investments_Software_Business_Private" localSheetId="0">#REF!</definedName>
    <definedName name="Investments_Software_Business_Private">#REF!</definedName>
    <definedName name="Investments_Software_Business_Secret" localSheetId="3">#REF!</definedName>
    <definedName name="Investments_Software_Business_Secret" localSheetId="0">#REF!</definedName>
    <definedName name="Investments_Software_Business_Secret">#REF!</definedName>
    <definedName name="Investments_Software_Public" localSheetId="3">#REF!</definedName>
    <definedName name="Investments_Software_Public" localSheetId="0">#REF!</definedName>
    <definedName name="Investments_Software_Public">#REF!</definedName>
    <definedName name="Investmentsa" localSheetId="3">#REF!</definedName>
    <definedName name="Investmentsa" localSheetId="0">#REF!</definedName>
    <definedName name="Investmentsa">#REF!</definedName>
    <definedName name="ISO27001_Control" localSheetId="3">#REF!</definedName>
    <definedName name="ISO27001_Control" localSheetId="0">#REF!</definedName>
    <definedName name="ISO27001_Control">#REF!</definedName>
    <definedName name="IT_Policies_and_procedures" localSheetId="3">#REF!</definedName>
    <definedName name="IT_Policies_and_procedures" localSheetId="0">#REF!</definedName>
    <definedName name="IT_Policies_and_procedures">#REF!</definedName>
    <definedName name="IT_Servicesa" localSheetId="3">#REF!</definedName>
    <definedName name="IT_Servicesa" localSheetId="0">#REF!</definedName>
    <definedName name="IT_Servicesa">#REF!</definedName>
    <definedName name="Laptops" localSheetId="3">#REF!</definedName>
    <definedName name="Laptops" localSheetId="0">#REF!</definedName>
    <definedName name="Laptops">#REF!</definedName>
    <definedName name="Legala" localSheetId="3">#REF!</definedName>
    <definedName name="Legala" localSheetId="0">#REF!</definedName>
    <definedName name="Legala">#REF!</definedName>
    <definedName name="Lightning" localSheetId="3">[1]VulRepo!#REF!</definedName>
    <definedName name="Lightning" localSheetId="0">[1]VulRepo!#REF!</definedName>
    <definedName name="Lightning">[1]VulRepo!#REF!</definedName>
    <definedName name="list" localSheetId="0">#REF!</definedName>
    <definedName name="list">#REF!</definedName>
    <definedName name="list1" localSheetId="0">#REF!</definedName>
    <definedName name="list1">#REF!</definedName>
    <definedName name="Marketinga" localSheetId="3">#REF!</definedName>
    <definedName name="Marketinga" localSheetId="0">#REF!</definedName>
    <definedName name="Marketinga">#REF!</definedName>
    <definedName name="Medical_Underwriting" localSheetId="3">#REF!</definedName>
    <definedName name="Medical_Underwriting" localSheetId="0">#REF!</definedName>
    <definedName name="Medical_Underwriting">#REF!</definedName>
    <definedName name="Medical_Underwriting_People_Business_Private" localSheetId="3">#REF!</definedName>
    <definedName name="Medical_Underwriting_People_Business_Private" localSheetId="0">#REF!</definedName>
    <definedName name="Medical_Underwriting_People_Business_Private">#REF!</definedName>
    <definedName name="Medical_Underwriting_Soft_Copy_Business_Confidential" localSheetId="3">#REF!</definedName>
    <definedName name="Medical_Underwriting_Soft_Copy_Business_Confidential" localSheetId="0">#REF!</definedName>
    <definedName name="Medical_Underwriting_Soft_Copy_Business_Confidential">#REF!</definedName>
    <definedName name="Medical_Underwriting_Soft_Copy_Business_Private" localSheetId="3">#REF!</definedName>
    <definedName name="Medical_Underwriting_Soft_Copy_Business_Private" localSheetId="0">#REF!</definedName>
    <definedName name="Medical_Underwriting_Soft_Copy_Business_Private">#REF!</definedName>
    <definedName name="Medical_Underwriting_Soft_Copy_Public" localSheetId="3">#REF!</definedName>
    <definedName name="Medical_Underwriting_Soft_Copy_Public" localSheetId="0">#REF!</definedName>
    <definedName name="Medical_Underwriting_Soft_Copy_Public">#REF!</definedName>
    <definedName name="Medical_Underwritinga" localSheetId="3">#REF!</definedName>
    <definedName name="Medical_Underwritinga" localSheetId="0">#REF!</definedName>
    <definedName name="Medical_Underwritinga">#REF!</definedName>
    <definedName name="Mishandling.of.Data.Cables" localSheetId="3">[1]VulRepo!#REF!</definedName>
    <definedName name="Mishandling.of.Data.Cables" localSheetId="0">[1]VulRepo!#REF!</definedName>
    <definedName name="Mishandling.of.Data.Cables">[1]VulRepo!#REF!</definedName>
    <definedName name="Mishandling.of.resources" localSheetId="3">[1]VulRepo!#REF!</definedName>
    <definedName name="Mishandling.of.resources" localSheetId="0">[1]VulRepo!#REF!</definedName>
    <definedName name="Mishandling.of.resources">[1]VulRepo!#REF!</definedName>
    <definedName name="Misplacement_of_asset" localSheetId="3">[1]VulRepo!#REF!</definedName>
    <definedName name="Misplacement_of_asset" localSheetId="0">[1]VulRepo!#REF!</definedName>
    <definedName name="Misplacement_of_asset">[1]VulRepo!#REF!</definedName>
    <definedName name="Misuse.of.resources_deliberate" localSheetId="3">[1]VulRepo!#REF!</definedName>
    <definedName name="Misuse.of.resources_deliberate" localSheetId="0">[1]VulRepo!#REF!</definedName>
    <definedName name="Misuse.of.resources_deliberate">[1]VulRepo!#REF!</definedName>
    <definedName name="Monitoring__Access___Surveillance_equipment" localSheetId="3">#REF!</definedName>
    <definedName name="Monitoring__Access___Surveillance_equipment" localSheetId="0">#REF!</definedName>
    <definedName name="Monitoring__Access___Surveillance_equipment">#REF!</definedName>
    <definedName name="Motion.detector.system.malfunctions.OR.Failure" localSheetId="3">[1]VulRepo!#REF!</definedName>
    <definedName name="Motion.detector.system.malfunctions.OR.Failure" localSheetId="0">[1]VulRepo!#REF!</definedName>
    <definedName name="Motion.detector.system.malfunctions.OR.Failure">[1]VulRepo!#REF!</definedName>
    <definedName name="name" localSheetId="0">#REF!</definedName>
    <definedName name="name">#REF!</definedName>
    <definedName name="Network.Device.Malfunction.OR.Failure" localSheetId="3">[1]VulRepo!#REF!</definedName>
    <definedName name="Network.Device.Malfunction.OR.Failure" localSheetId="0">[1]VulRepo!#REF!</definedName>
    <definedName name="Network.Device.Malfunction.OR.Failure">[1]VulRepo!#REF!</definedName>
    <definedName name="Operation_Axis" localSheetId="3">#REF!</definedName>
    <definedName name="Operation_Axis" localSheetId="0">#REF!</definedName>
    <definedName name="Operation_Axis">#REF!</definedName>
    <definedName name="Operation_Axis_People_Business_Private" localSheetId="3">#REF!</definedName>
    <definedName name="Operation_Axis_People_Business_Private" localSheetId="0">#REF!</definedName>
    <definedName name="Operation_Axis_People_Business_Private">#REF!</definedName>
    <definedName name="Operation_Axis_People_Public" localSheetId="3">#REF!</definedName>
    <definedName name="Operation_Axis_People_Public" localSheetId="0">#REF!</definedName>
    <definedName name="Operation_Axis_People_Public">#REF!</definedName>
    <definedName name="Operation_Axis_Soft_Copy_Business_Confidential" localSheetId="3">#REF!</definedName>
    <definedName name="Operation_Axis_Soft_Copy_Business_Confidential" localSheetId="0">#REF!</definedName>
    <definedName name="Operation_Axis_Soft_Copy_Business_Confidential">#REF!</definedName>
    <definedName name="Operation_Axis_Soft_Copy_Public" localSheetId="3">#REF!</definedName>
    <definedName name="Operation_Axis_Soft_Copy_Public" localSheetId="0">#REF!</definedName>
    <definedName name="Operation_Axis_Soft_Copy_Public">#REF!</definedName>
    <definedName name="Operation_Axisa" localSheetId="3">#REF!</definedName>
    <definedName name="Operation_Axisa" localSheetId="0">#REF!</definedName>
    <definedName name="Operation_Axisa">#REF!</definedName>
    <definedName name="Operation_CS_POS" localSheetId="3">#REF!</definedName>
    <definedName name="Operation_CS_POS" localSheetId="0">#REF!</definedName>
    <definedName name="Operation_CS_POS">#REF!</definedName>
    <definedName name="Operation_CS_POS_Hard_Copy_Public" localSheetId="3">#REF!</definedName>
    <definedName name="Operation_CS_POS_Hard_Copy_Public" localSheetId="0">#REF!</definedName>
    <definedName name="Operation_CS_POS_Hard_Copy_Public">#REF!</definedName>
    <definedName name="Operation_CS_POS_People_Public" localSheetId="3">#REF!</definedName>
    <definedName name="Operation_CS_POS_People_Public" localSheetId="0">#REF!</definedName>
    <definedName name="Operation_CS_POS_People_Public">#REF!</definedName>
    <definedName name="Operation_CS_POS_Soft_Copy_Business_Confidential" localSheetId="3">#REF!</definedName>
    <definedName name="Operation_CS_POS_Soft_Copy_Business_Confidential" localSheetId="0">#REF!</definedName>
    <definedName name="Operation_CS_POS_Soft_Copy_Business_Confidential">#REF!</definedName>
    <definedName name="Operation_CS_POS_Soft_Copy_Public" localSheetId="3">#REF!</definedName>
    <definedName name="Operation_CS_POS_Soft_Copy_Public" localSheetId="0">#REF!</definedName>
    <definedName name="Operation_CS_POS_Soft_Copy_Public">#REF!</definedName>
    <definedName name="Operation_CS_POS_Software_Public" localSheetId="3">#REF!</definedName>
    <definedName name="Operation_CS_POS_Software_Public" localSheetId="0">#REF!</definedName>
    <definedName name="Operation_CS_POS_Software_Public">#REF!</definedName>
    <definedName name="Operation_CS_POSa" localSheetId="3">#REF!</definedName>
    <definedName name="Operation_CS_POSa" localSheetId="0">#REF!</definedName>
    <definedName name="Operation_CS_POSa">#REF!</definedName>
    <definedName name="Operation_DSDO" localSheetId="3">#REF!</definedName>
    <definedName name="Operation_DSDO" localSheetId="0">#REF!</definedName>
    <definedName name="Operation_DSDO">#REF!</definedName>
    <definedName name="Operation_DSDO_Hard_Copy_Business_Confidential" localSheetId="3">#REF!</definedName>
    <definedName name="Operation_DSDO_Hard_Copy_Business_Confidential" localSheetId="0">#REF!</definedName>
    <definedName name="Operation_DSDO_Hard_Copy_Business_Confidential">#REF!</definedName>
    <definedName name="Operation_DSDO_Hard_Copy_Business_Private" localSheetId="3">#REF!</definedName>
    <definedName name="Operation_DSDO_Hard_Copy_Business_Private" localSheetId="0">#REF!</definedName>
    <definedName name="Operation_DSDO_Hard_Copy_Business_Private">#REF!</definedName>
    <definedName name="Operation_DSDO_Soft_Copy_Business_Confidential" localSheetId="3">#REF!</definedName>
    <definedName name="Operation_DSDO_Soft_Copy_Business_Confidential" localSheetId="0">#REF!</definedName>
    <definedName name="Operation_DSDO_Soft_Copy_Business_Confidential">#REF!</definedName>
    <definedName name="Operation_DSDO_Soft_Copy_Business_Private" localSheetId="3">#REF!</definedName>
    <definedName name="Operation_DSDO_Soft_Copy_Business_Private" localSheetId="0">#REF!</definedName>
    <definedName name="Operation_DSDO_Soft_Copy_Business_Private">#REF!</definedName>
    <definedName name="Operation_DSDOa" localSheetId="3">#REF!</definedName>
    <definedName name="Operation_DSDOa" localSheetId="0">#REF!</definedName>
    <definedName name="Operation_DSDOa">#REF!</definedName>
    <definedName name="Operation_FO_SE" localSheetId="3">#REF!</definedName>
    <definedName name="Operation_FO_SE" localSheetId="0">#REF!</definedName>
    <definedName name="Operation_FO_SE">#REF!</definedName>
    <definedName name="Operation_FO_SE_People_Business_Secret" localSheetId="3">#REF!</definedName>
    <definedName name="Operation_FO_SE_People_Business_Secret" localSheetId="0">#REF!</definedName>
    <definedName name="Operation_FO_SE_People_Business_Secret">#REF!</definedName>
    <definedName name="Operation_FO_SEa" localSheetId="3">#REF!</definedName>
    <definedName name="Operation_FO_SEa" localSheetId="0">#REF!</definedName>
    <definedName name="Operation_FO_SEa">#REF!</definedName>
    <definedName name="Operation_Mailroom" localSheetId="3">#REF!</definedName>
    <definedName name="Operation_Mailroom" localSheetId="0">#REF!</definedName>
    <definedName name="Operation_Mailroom">#REF!</definedName>
    <definedName name="Operation_Mailroom_Hard_Copy_Public" localSheetId="3">#REF!</definedName>
    <definedName name="Operation_Mailroom_Hard_Copy_Public" localSheetId="0">#REF!</definedName>
    <definedName name="Operation_Mailroom_Hard_Copy_Public">#REF!</definedName>
    <definedName name="Operation_Mailroom_People_Business_Private" localSheetId="3">#REF!</definedName>
    <definedName name="Operation_Mailroom_People_Business_Private" localSheetId="0">#REF!</definedName>
    <definedName name="Operation_Mailroom_People_Business_Private">#REF!</definedName>
    <definedName name="Operation_Mailroom_People_Business_Secret" localSheetId="3">#REF!</definedName>
    <definedName name="Operation_Mailroom_People_Business_Secret" localSheetId="0">#REF!</definedName>
    <definedName name="Operation_Mailroom_People_Business_Secret">#REF!</definedName>
    <definedName name="Operation_Mailroom_People_Public" localSheetId="3">#REF!</definedName>
    <definedName name="Operation_Mailroom_People_Public" localSheetId="0">#REF!</definedName>
    <definedName name="Operation_Mailroom_People_Public">#REF!</definedName>
    <definedName name="Operation_Mailroom_Soft_Copy_Business_Private" localSheetId="3">#REF!</definedName>
    <definedName name="Operation_Mailroom_Soft_Copy_Business_Private" localSheetId="0">#REF!</definedName>
    <definedName name="Operation_Mailroom_Soft_Copy_Business_Private">#REF!</definedName>
    <definedName name="Operation_Mailroom_Soft_Copy_Public" localSheetId="3">#REF!</definedName>
    <definedName name="Operation_Mailroom_Soft_Copy_Public" localSheetId="0">#REF!</definedName>
    <definedName name="Operation_Mailroom_Soft_Copy_Public">#REF!</definedName>
    <definedName name="Operation_Mailroom_Software_Public" localSheetId="3">#REF!</definedName>
    <definedName name="Operation_Mailroom_Software_Public" localSheetId="0">#REF!</definedName>
    <definedName name="Operation_Mailroom_Software_Public">#REF!</definedName>
    <definedName name="Operation_Mailrooma" localSheetId="3">#REF!</definedName>
    <definedName name="Operation_Mailrooma" localSheetId="0">#REF!</definedName>
    <definedName name="Operation_Mailrooma">#REF!</definedName>
    <definedName name="Operation_PD" localSheetId="3">#REF!</definedName>
    <definedName name="Operation_PD" localSheetId="0">#REF!</definedName>
    <definedName name="Operation_PD">#REF!</definedName>
    <definedName name="Operation_PD_People_Business_Private" localSheetId="3">#REF!</definedName>
    <definedName name="Operation_PD_People_Business_Private" localSheetId="0">#REF!</definedName>
    <definedName name="Operation_PD_People_Business_Private">#REF!</definedName>
    <definedName name="Operation_PD_Soft_Copy_Business_Confidential" localSheetId="3">#REF!</definedName>
    <definedName name="Operation_PD_Soft_Copy_Business_Confidential" localSheetId="0">#REF!</definedName>
    <definedName name="Operation_PD_Soft_Copy_Business_Confidential">#REF!</definedName>
    <definedName name="Operation_PD_Soft_Copy_Business_Private" localSheetId="3">#REF!</definedName>
    <definedName name="Operation_PD_Soft_Copy_Business_Private" localSheetId="0">#REF!</definedName>
    <definedName name="Operation_PD_Soft_Copy_Business_Private">#REF!</definedName>
    <definedName name="Operation_PD_Soft_Copy_Business_Secret" localSheetId="3">#REF!</definedName>
    <definedName name="Operation_PD_Soft_Copy_Business_Secret" localSheetId="0">#REF!</definedName>
    <definedName name="Operation_PD_Soft_Copy_Business_Secret">#REF!</definedName>
    <definedName name="Operation_PD_Soft_Copy_Public" localSheetId="3">#REF!</definedName>
    <definedName name="Operation_PD_Soft_Copy_Public" localSheetId="0">#REF!</definedName>
    <definedName name="Operation_PD_Soft_Copy_Public">#REF!</definedName>
    <definedName name="Operation_PD_Software_Business_Confidential" localSheetId="3">#REF!</definedName>
    <definedName name="Operation_PD_Software_Business_Confidential" localSheetId="0">#REF!</definedName>
    <definedName name="Operation_PD_Software_Business_Confidential">#REF!</definedName>
    <definedName name="Operation_PDa" localSheetId="3">#REF!</definedName>
    <definedName name="Operation_PDa" localSheetId="0">#REF!</definedName>
    <definedName name="Operation_PDa">#REF!</definedName>
    <definedName name="Operation_SDIa" localSheetId="3">#REF!</definedName>
    <definedName name="Operation_SDIa" localSheetId="0">#REF!</definedName>
    <definedName name="Operation_SDIa">#REF!</definedName>
    <definedName name="Operations_Support_Staff" localSheetId="3">#REF!</definedName>
    <definedName name="Operations_Support_Staff" localSheetId="0">#REF!</definedName>
    <definedName name="Operations_Support_Staff">#REF!</definedName>
    <definedName name="Operationsa" localSheetId="3">#REF!</definedName>
    <definedName name="Operationsa" localSheetId="0">#REF!</definedName>
    <definedName name="Operationsa">#REF!</definedName>
    <definedName name="PD_GB" localSheetId="3">#REF!</definedName>
    <definedName name="PD_GB" localSheetId="0">#REF!</definedName>
    <definedName name="PD_GB">#REF!</definedName>
    <definedName name="PD_GB_Hard_Copy_Public" localSheetId="3">#REF!</definedName>
    <definedName name="PD_GB_Hard_Copy_Public" localSheetId="0">#REF!</definedName>
    <definedName name="PD_GB_Hard_Copy_Public">#REF!</definedName>
    <definedName name="PD_GB_People_Business_Secret" localSheetId="3">#REF!</definedName>
    <definedName name="PD_GB_People_Business_Secret" localSheetId="0">#REF!</definedName>
    <definedName name="PD_GB_People_Business_Secret">#REF!</definedName>
    <definedName name="PD_GB_Services_Public" localSheetId="3">#REF!</definedName>
    <definedName name="PD_GB_Services_Public" localSheetId="0">#REF!</definedName>
    <definedName name="PD_GB_Services_Public">#REF!</definedName>
    <definedName name="PD_GB_Soft_Copy_Public" localSheetId="3">#REF!</definedName>
    <definedName name="PD_GB_Soft_Copy_Public" localSheetId="0">#REF!</definedName>
    <definedName name="PD_GB_Soft_Copy_Public">#REF!</definedName>
    <definedName name="PD_GB_Software_Public" localSheetId="3">#REF!</definedName>
    <definedName name="PD_GB_Software_Public" localSheetId="0">#REF!</definedName>
    <definedName name="PD_GB_Software_Public">#REF!</definedName>
    <definedName name="PD_GBa" localSheetId="3">#REF!</definedName>
    <definedName name="PD_GBa" localSheetId="0">#REF!</definedName>
    <definedName name="PD_GBa">#REF!</definedName>
    <definedName name="PDG_CFa" localSheetId="3">#REF!</definedName>
    <definedName name="PDG_CFa" localSheetId="0">#REF!</definedName>
    <definedName name="PDG_CFa">#REF!</definedName>
    <definedName name="PDG_Dista" localSheetId="3">#REF!</definedName>
    <definedName name="PDG_Dista" localSheetId="0">#REF!</definedName>
    <definedName name="PDG_Dista">#REF!</definedName>
    <definedName name="PDG_Financea" localSheetId="3">#REF!</definedName>
    <definedName name="PDG_Financea" localSheetId="0">#REF!</definedName>
    <definedName name="PDG_Financea">#REF!</definedName>
    <definedName name="PDG_NTa" localSheetId="3">#REF!</definedName>
    <definedName name="PDG_NTa" localSheetId="0">#REF!</definedName>
    <definedName name="PDG_NTa">#REF!</definedName>
    <definedName name="PDG_PnAa" localSheetId="3">#REF!</definedName>
    <definedName name="PDG_PnAa" localSheetId="0">#REF!</definedName>
    <definedName name="PDG_PnAa">#REF!</definedName>
    <definedName name="PMOa" localSheetId="3">#REF!</definedName>
    <definedName name="PMOa" localSheetId="0">#REF!</definedName>
    <definedName name="PMOa">#REF!</definedName>
    <definedName name="Policy_Issuancea" localSheetId="3">#REF!</definedName>
    <definedName name="Policy_Issuancea" localSheetId="0">#REF!</definedName>
    <definedName name="Policy_Issuancea">#REF!</definedName>
    <definedName name="Priority">'[3]Pick Menus'!$C$22:$C$24</definedName>
    <definedName name="Procurement" localSheetId="3">#REF!</definedName>
    <definedName name="Procurement" localSheetId="0">#REF!</definedName>
    <definedName name="Procurement">#REF!</definedName>
    <definedName name="Procurement_Hard_Copy_Public" localSheetId="3">#REF!</definedName>
    <definedName name="Procurement_Hard_Copy_Public" localSheetId="0">#REF!</definedName>
    <definedName name="Procurement_Hard_Copy_Public">#REF!</definedName>
    <definedName name="Procurement_People_Public" localSheetId="3">#REF!</definedName>
    <definedName name="Procurement_People_Public" localSheetId="0">#REF!</definedName>
    <definedName name="Procurement_People_Public">#REF!</definedName>
    <definedName name="Procurement_Soft_Copy_Business_Confidential" localSheetId="3">#REF!</definedName>
    <definedName name="Procurement_Soft_Copy_Business_Confidential" localSheetId="0">#REF!</definedName>
    <definedName name="Procurement_Soft_Copy_Business_Confidential">#REF!</definedName>
    <definedName name="Procurement_Soft_Copy_Business_Private" localSheetId="3">#REF!</definedName>
    <definedName name="Procurement_Soft_Copy_Business_Private" localSheetId="0">#REF!</definedName>
    <definedName name="Procurement_Soft_Copy_Business_Private">#REF!</definedName>
    <definedName name="Procurement_Soft_Copy_Public" localSheetId="3">#REF!</definedName>
    <definedName name="Procurement_Soft_Copy_Public" localSheetId="0">#REF!</definedName>
    <definedName name="Procurement_Soft_Copy_Public">#REF!</definedName>
    <definedName name="Procurement_Software_Business_Private" localSheetId="3">#REF!</definedName>
    <definedName name="Procurement_Software_Business_Private" localSheetId="0">#REF!</definedName>
    <definedName name="Procurement_Software_Business_Private">#REF!</definedName>
    <definedName name="Procurement_Software_Public" localSheetId="3">#REF!</definedName>
    <definedName name="Procurement_Software_Public" localSheetId="0">#REF!</definedName>
    <definedName name="Procurement_Software_Public">#REF!</definedName>
    <definedName name="Procurementa" localSheetId="3">#REF!</definedName>
    <definedName name="Procurementa" localSheetId="0">#REF!</definedName>
    <definedName name="Procurementa">#REF!</definedName>
    <definedName name="Product_Management" localSheetId="3">#REF!</definedName>
    <definedName name="Product_Management" localSheetId="0">#REF!</definedName>
    <definedName name="Product_Management">#REF!</definedName>
    <definedName name="Product_Management_People_Business_Private" localSheetId="3">#REF!</definedName>
    <definedName name="Product_Management_People_Business_Private" localSheetId="0">#REF!</definedName>
    <definedName name="Product_Management_People_Business_Private">#REF!</definedName>
    <definedName name="Product_Management_People_Business_Secret" localSheetId="3">#REF!</definedName>
    <definedName name="Product_Management_People_Business_Secret" localSheetId="0">#REF!</definedName>
    <definedName name="Product_Management_People_Business_Secret">#REF!</definedName>
    <definedName name="Product_Management_Soft_Copy_Business_Secret" localSheetId="3">#REF!</definedName>
    <definedName name="Product_Management_Soft_Copy_Business_Secret" localSheetId="0">#REF!</definedName>
    <definedName name="Product_Management_Soft_Copy_Business_Secret">#REF!</definedName>
    <definedName name="Product_Managementa" localSheetId="3">#REF!</definedName>
    <definedName name="Product_Managementa" localSheetId="0">#REF!</definedName>
    <definedName name="Product_Managementa">#REF!</definedName>
    <definedName name="Production_Application_Servers" localSheetId="3">#REF!</definedName>
    <definedName name="Production_Application_Servers" localSheetId="0">#REF!</definedName>
    <definedName name="Production_Application_Servers">#REF!</definedName>
    <definedName name="Public.Address.System.Malfunction.OR.Failure" localSheetId="3">[1]VulRepo!#REF!</definedName>
    <definedName name="Public.Address.System.Malfunction.OR.Failure" localSheetId="0">[1]VulRepo!#REF!</definedName>
    <definedName name="Public.Address.System.Malfunction.OR.Failure">[1]VulRepo!#REF!</definedName>
    <definedName name="Quality" localSheetId="3">#REF!</definedName>
    <definedName name="Quality" localSheetId="0">#REF!</definedName>
    <definedName name="Quality">#REF!</definedName>
    <definedName name="Quality_Application_Servers" localSheetId="3">#REF!</definedName>
    <definedName name="Quality_Application_Servers" localSheetId="0">#REF!</definedName>
    <definedName name="Quality_Application_Servers">#REF!</definedName>
    <definedName name="Quality_People_Business_Private" localSheetId="3">#REF!</definedName>
    <definedName name="Quality_People_Business_Private" localSheetId="0">#REF!</definedName>
    <definedName name="Quality_People_Business_Private">#REF!</definedName>
    <definedName name="Quality_People_Business_Secret" localSheetId="3">#REF!</definedName>
    <definedName name="Quality_People_Business_Secret" localSheetId="0">#REF!</definedName>
    <definedName name="Quality_People_Business_Secret">#REF!</definedName>
    <definedName name="Quality_Soft_Copy_Public" localSheetId="3">#REF!</definedName>
    <definedName name="Quality_Soft_Copy_Public" localSheetId="0">#REF!</definedName>
    <definedName name="Quality_Soft_Copy_Public">#REF!</definedName>
    <definedName name="Quality_Software_Public" localSheetId="3">#REF!</definedName>
    <definedName name="Quality_Software_Public" localSheetId="0">#REF!</definedName>
    <definedName name="Quality_Software_Public">#REF!</definedName>
    <definedName name="Qualitya" localSheetId="3">#REF!</definedName>
    <definedName name="Qualitya" localSheetId="0">#REF!</definedName>
    <definedName name="Qualitya">#REF!</definedName>
    <definedName name="Recurring.of.security.incidents" localSheetId="3">[1]VulRepo!#REF!</definedName>
    <definedName name="Recurring.of.security.incidents" localSheetId="0">[1]VulRepo!#REF!</definedName>
    <definedName name="Recurring.of.security.incidents">[1]VulRepo!#REF!</definedName>
    <definedName name="Renewals" localSheetId="3">#REF!</definedName>
    <definedName name="Renewals" localSheetId="0">#REF!</definedName>
    <definedName name="Renewals">#REF!</definedName>
    <definedName name="Renewals_People_Public" localSheetId="3">#REF!</definedName>
    <definedName name="Renewals_People_Public" localSheetId="0">#REF!</definedName>
    <definedName name="Renewals_People_Public">#REF!</definedName>
    <definedName name="Renewals_Soft_Copy_Business_Confidential" localSheetId="3">#REF!</definedName>
    <definedName name="Renewals_Soft_Copy_Business_Confidential" localSheetId="0">#REF!</definedName>
    <definedName name="Renewals_Soft_Copy_Business_Confidential">#REF!</definedName>
    <definedName name="Renewals_Soft_Copy_Business_Private" localSheetId="3">#REF!</definedName>
    <definedName name="Renewals_Soft_Copy_Business_Private" localSheetId="0">#REF!</definedName>
    <definedName name="Renewals_Soft_Copy_Business_Private">#REF!</definedName>
    <definedName name="Renewals_Software_Business_Private" localSheetId="3">#REF!</definedName>
    <definedName name="Renewals_Software_Business_Private" localSheetId="0">#REF!</definedName>
    <definedName name="Renewals_Software_Business_Private">#REF!</definedName>
    <definedName name="Renewalsa" localSheetId="3">#REF!</definedName>
    <definedName name="Renewalsa" localSheetId="0">#REF!</definedName>
    <definedName name="Renewalsa">#REF!</definedName>
    <definedName name="Restricted" localSheetId="0">#REF!</definedName>
    <definedName name="Restricted">#REF!</definedName>
    <definedName name="rr" localSheetId="0">#REF!</definedName>
    <definedName name="rr">#REF!</definedName>
    <definedName name="Sattel_Supporta" localSheetId="3">#REF!</definedName>
    <definedName name="Sattel_Supporta" localSheetId="0">#REF!</definedName>
    <definedName name="Sattel_Supporta">#REF!</definedName>
    <definedName name="Security.events.OR.Weakness.not.reported" localSheetId="3">[1]VulRepo!#REF!</definedName>
    <definedName name="Security.events.OR.Weakness.not.reported" localSheetId="0">[1]VulRepo!#REF!</definedName>
    <definedName name="Security.events.OR.Weakness.not.reported">[1]VulRepo!#REF!</definedName>
    <definedName name="Senior_Management" localSheetId="3">#REF!</definedName>
    <definedName name="Senior_Management" localSheetId="0">#REF!</definedName>
    <definedName name="Senior_Management">#REF!</definedName>
    <definedName name="Shuttle.Service.Misuse" localSheetId="3">[1]VulRepo!#REF!</definedName>
    <definedName name="Shuttle.Service.Misuse" localSheetId="0">[1]VulRepo!#REF!</definedName>
    <definedName name="Shuttle.Service.Misuse">[1]VulRepo!#REF!</definedName>
    <definedName name="Software.license.violation" localSheetId="3">[1]VulRepo!#REF!</definedName>
    <definedName name="Software.license.violation" localSheetId="0">[1]VulRepo!#REF!</definedName>
    <definedName name="Software.license.violation">[1]VulRepo!#REF!</definedName>
    <definedName name="Software.or.application.failure" localSheetId="3">[1]VulRepo!#REF!</definedName>
    <definedName name="Software.or.application.failure" localSheetId="0">[1]VulRepo!#REF!</definedName>
    <definedName name="Software.or.application.failure">[1]VulRepo!#REF!</definedName>
    <definedName name="Spyware.Adware.Infection" localSheetId="3">[1]VulRepo!#REF!</definedName>
    <definedName name="Spyware.Adware.Infection" localSheetId="0">[1]VulRepo!#REF!</definedName>
    <definedName name="Spyware.Adware.Infection">[1]VulRepo!#REF!</definedName>
    <definedName name="System_Documentation" localSheetId="3">#REF!</definedName>
    <definedName name="System_Documentation" localSheetId="0">#REF!</definedName>
    <definedName name="System_Documentation">#REF!</definedName>
    <definedName name="System_Software" localSheetId="3">#REF!</definedName>
    <definedName name="System_Software" localSheetId="0">#REF!</definedName>
    <definedName name="System_Software">#REF!</definedName>
    <definedName name="Tel_NW_Seca" localSheetId="3">#REF!</definedName>
    <definedName name="Tel_NW_Seca" localSheetId="0">#REF!</definedName>
    <definedName name="Tel_NW_Seca">#REF!</definedName>
    <definedName name="Theft_Information" localSheetId="3">[1]VulRepo!#REF!</definedName>
    <definedName name="Theft_Information" localSheetId="0">[1]VulRepo!#REF!</definedName>
    <definedName name="Theft_Information">[1]VulRepo!#REF!</definedName>
    <definedName name="Theft_Material" localSheetId="3">[1]VulRepo!#REF!</definedName>
    <definedName name="Theft_Material" localSheetId="0">[1]VulRepo!#REF!</definedName>
    <definedName name="Theft_Material">[1]VulRepo!#REF!</definedName>
    <definedName name="TIMER" localSheetId="0">#REF!</definedName>
    <definedName name="TIMER">#REF!</definedName>
    <definedName name="TIMERATING" localSheetId="0">#REF!</definedName>
    <definedName name="TIMERATING">#REF!</definedName>
    <definedName name="TIMERATNG" localSheetId="0">#REF!</definedName>
    <definedName name="TIMERATNG">#REF!</definedName>
    <definedName name="TIMEVALUE" localSheetId="0">#REF!</definedName>
    <definedName name="TIMEVALUE">#REF!</definedName>
    <definedName name="TPP_Uchita" localSheetId="3">#REF!</definedName>
    <definedName name="TPP_Uchita" localSheetId="0">#REF!</definedName>
    <definedName name="TPP_Uchita">#REF!</definedName>
    <definedName name="Transmission.errors" localSheetId="3">[1]VulRepo!#REF!</definedName>
    <definedName name="Transmission.errors" localSheetId="0">[1]VulRepo!#REF!</definedName>
    <definedName name="Transmission.errors">[1]VulRepo!#REF!</definedName>
    <definedName name="Tsunami" localSheetId="3">[1]VulRepo!#REF!</definedName>
    <definedName name="Tsunami" localSheetId="0">[1]VulRepo!#REF!</definedName>
    <definedName name="Tsunami">[1]VulRepo!#REF!</definedName>
    <definedName name="Unauthorized.access.to.devices" localSheetId="3">[1]VulRepo!#REF!</definedName>
    <definedName name="Unauthorized.access.to.devices" localSheetId="0">[1]VulRepo!#REF!</definedName>
    <definedName name="Unauthorized.access.to.devices">[1]VulRepo!#REF!</definedName>
    <definedName name="Unauthorized.access.to.fax.machine" localSheetId="3">[1]VulRepo!#REF!</definedName>
    <definedName name="Unauthorized.access.to.fax.machine" localSheetId="0">[1]VulRepo!#REF!</definedName>
    <definedName name="Unauthorized.access.to.fax.machine">[1]VulRepo!#REF!</definedName>
    <definedName name="Unauthorized.access.to.hardcopy" localSheetId="3">[1]VulRepo!#REF!</definedName>
    <definedName name="Unauthorized.access.to.hardcopy" localSheetId="0">[1]VulRepo!#REF!</definedName>
    <definedName name="Unauthorized.access.to.hardcopy">[1]VulRepo!#REF!</definedName>
    <definedName name="Unauthorized.access.to.printers_faxes" localSheetId="3">[1]VulRepo!#REF!</definedName>
    <definedName name="Unauthorized.access.to.printers_faxes" localSheetId="0">[1]VulRepo!#REF!</definedName>
    <definedName name="Unauthorized.access.to.printers_faxes">[1]VulRepo!#REF!</definedName>
    <definedName name="Unauthorized.access.to.server.desktop" localSheetId="3">[1]VulRepo!#REF!</definedName>
    <definedName name="Unauthorized.access.to.server.desktop" localSheetId="0">[1]VulRepo!#REF!</definedName>
    <definedName name="Unauthorized.access.to.server.desktop">[1]VulRepo!#REF!</definedName>
    <definedName name="Unauthorized.access.to.server.or.devices" localSheetId="3">[1]VulRepo!#REF!</definedName>
    <definedName name="Unauthorized.access.to.server.or.devices" localSheetId="0">[1]VulRepo!#REF!</definedName>
    <definedName name="Unauthorized.access.to.server.or.devices">[1]VulRepo!#REF!</definedName>
    <definedName name="Uninterrupted_Power_Supply__UPS" localSheetId="3">#REF!</definedName>
    <definedName name="Uninterrupted_Power_Supply__UPS" localSheetId="0">#REF!</definedName>
    <definedName name="Uninterrupted_Power_Supply__UPS">#REF!</definedName>
    <definedName name="Uninterrupted_Power_Supply__UPS_" localSheetId="3">#REF!</definedName>
    <definedName name="Uninterrupted_Power_Supply__UPS_" localSheetId="0">#REF!</definedName>
    <definedName name="Uninterrupted_Power_Supply__UPS_">#REF!</definedName>
    <definedName name="Vandalism.or.Strike" localSheetId="3">[1]VulRepo!#REF!</definedName>
    <definedName name="Vandalism.or.Strike" localSheetId="0">[1]VulRepo!#REF!</definedName>
    <definedName name="Vandalism.or.Strike">[1]VulRepo!#REF!</definedName>
    <definedName name="Ver" localSheetId="0">#REF!</definedName>
    <definedName name="Ver">#REF!</definedName>
    <definedName name="Violation.of.Regulatory.Statutory.requirements" localSheetId="3">[1]VulRepo!#REF!</definedName>
    <definedName name="Violation.of.Regulatory.Statutory.requirements" localSheetId="0">[1]VulRepo!#REF!</definedName>
    <definedName name="Violation.of.Regulatory.Statutory.requirements">[1]VulRepo!#REF!</definedName>
    <definedName name="Virus.Outbreak" localSheetId="3">[1]VulRepo!#REF!</definedName>
    <definedName name="Virus.Outbreak" localSheetId="0">[1]VulRepo!#REF!</definedName>
    <definedName name="Virus.Outbreak">[1]VulRepo!#REF!</definedName>
    <definedName name="Voice.based.process.downtime" localSheetId="3">[1]VulRepo!#REF!</definedName>
    <definedName name="Voice.based.process.downtime" localSheetId="0">[1]VulRepo!#REF!</definedName>
    <definedName name="Voice.based.process.downtime">[1]VulRepo!#REF!</definedName>
    <definedName name="Voice.based.systems.Malfunction.OR.Failure" localSheetId="3">[1]VulRepo!#REF!</definedName>
    <definedName name="Voice.based.systems.Malfunction.OR.Failure" localSheetId="0">[1]VulRepo!#REF!</definedName>
    <definedName name="Voice.based.systems.Malfunction.OR.Failure">[1]VulRepo!#REF!</definedName>
    <definedName name="vuln">[4]Vuln!$A$2:$A$124</definedName>
    <definedName name="Water.Leakage.System.Malfunction.OR.failure" localSheetId="3">[1]VulRepo!#REF!</definedName>
    <definedName name="Water.Leakage.System.Malfunction.OR.failure" localSheetId="0">[1]VulRepo!#REF!</definedName>
    <definedName name="Water.Leakage.System.Malfunction.OR.failure">[1]VulRepo!#REF!</definedName>
    <definedName name="Willfull.Damage" localSheetId="3">[1]VulRepo!#REF!</definedName>
    <definedName name="Willfull.Damage" localSheetId="0">[1]VulRepo!#REF!</definedName>
    <definedName name="Willfull.Damage">[1]VulRepo!#REF!</definedName>
    <definedName name="Zero.Day.Attacks" localSheetId="3">[1]VulRepo!#REF!</definedName>
    <definedName name="Zero.Day.Attacks" localSheetId="0">[1]VulRepo!#REF!</definedName>
    <definedName name="Zero.Day.Attacks">[1]VulRepo!#REF!</definedName>
    <definedName name="zs" localSheetId="0">#REF!</definedName>
    <definedName name="zs">#REF!</definedName>
    <definedName name="zx" localSheetId="0">#REF!</definedName>
    <definedName name="z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15" i="9" l="1"/>
  <c r="AB714" i="9"/>
  <c r="AB713" i="9"/>
  <c r="AB712" i="9"/>
  <c r="AB711" i="9"/>
  <c r="AB710" i="9"/>
  <c r="AB709" i="9"/>
  <c r="AB708" i="9"/>
  <c r="AB707" i="9"/>
  <c r="AB706" i="9"/>
  <c r="AB705" i="9"/>
  <c r="AB704" i="9"/>
  <c r="AB703" i="9"/>
  <c r="AB702" i="9"/>
  <c r="AB701" i="9"/>
  <c r="AB700" i="9"/>
  <c r="AB699" i="9"/>
  <c r="AB698" i="9"/>
  <c r="AB697" i="9"/>
  <c r="AB696" i="9"/>
  <c r="AB695" i="9"/>
  <c r="B49" i="9" l="1"/>
  <c r="B41" i="9"/>
  <c r="B33" i="9"/>
  <c r="B25" i="9"/>
  <c r="I56" i="9"/>
  <c r="J56" i="9" s="1"/>
  <c r="I55" i="9"/>
  <c r="J55" i="9" s="1"/>
  <c r="T54" i="9"/>
  <c r="Q54" i="9"/>
  <c r="N54" i="9"/>
  <c r="I54" i="9"/>
  <c r="I53" i="9"/>
  <c r="J53" i="9" s="1"/>
  <c r="I52" i="9"/>
  <c r="J52" i="9" s="1"/>
  <c r="I51" i="9"/>
  <c r="J51" i="9" s="1"/>
  <c r="I50" i="9"/>
  <c r="J50" i="9" s="1"/>
  <c r="T49" i="9"/>
  <c r="Q49" i="9"/>
  <c r="N49" i="9"/>
  <c r="I49" i="9"/>
  <c r="I48" i="9"/>
  <c r="J48" i="9" s="1"/>
  <c r="I47" i="9"/>
  <c r="J47" i="9" s="1"/>
  <c r="T46" i="9"/>
  <c r="Q46" i="9"/>
  <c r="N46" i="9"/>
  <c r="I46" i="9"/>
  <c r="I45" i="9"/>
  <c r="J45" i="9" s="1"/>
  <c r="I44" i="9"/>
  <c r="J44" i="9" s="1"/>
  <c r="I43" i="9"/>
  <c r="J43" i="9" s="1"/>
  <c r="I42" i="9"/>
  <c r="J42" i="9" s="1"/>
  <c r="T41" i="9"/>
  <c r="Q41" i="9"/>
  <c r="N41" i="9"/>
  <c r="I41" i="9"/>
  <c r="I40" i="9"/>
  <c r="J40" i="9" s="1"/>
  <c r="I39" i="9"/>
  <c r="J39" i="9" s="1"/>
  <c r="T38" i="9"/>
  <c r="Q38" i="9"/>
  <c r="N38" i="9"/>
  <c r="I38" i="9"/>
  <c r="I37" i="9"/>
  <c r="J37" i="9" s="1"/>
  <c r="I36" i="9"/>
  <c r="J36" i="9" s="1"/>
  <c r="I35" i="9"/>
  <c r="J35" i="9" s="1"/>
  <c r="I34" i="9"/>
  <c r="J34" i="9" s="1"/>
  <c r="T33" i="9"/>
  <c r="Q33" i="9"/>
  <c r="N33" i="9"/>
  <c r="I33" i="9"/>
  <c r="I32" i="9"/>
  <c r="J32" i="9" s="1"/>
  <c r="I31" i="9"/>
  <c r="J31" i="9" s="1"/>
  <c r="T30" i="9"/>
  <c r="Q30" i="9"/>
  <c r="N30" i="9"/>
  <c r="I30" i="9"/>
  <c r="I29" i="9"/>
  <c r="J29" i="9" s="1"/>
  <c r="I28" i="9"/>
  <c r="J28" i="9" s="1"/>
  <c r="I27" i="9"/>
  <c r="J27" i="9" s="1"/>
  <c r="I26" i="9"/>
  <c r="J26" i="9" s="1"/>
  <c r="T25" i="9"/>
  <c r="Q25" i="9"/>
  <c r="N25" i="9"/>
  <c r="I25" i="9"/>
  <c r="T22" i="9"/>
  <c r="Q22" i="9"/>
  <c r="N22" i="9"/>
  <c r="T3" i="9"/>
  <c r="Q3" i="9"/>
  <c r="N3" i="9"/>
  <c r="I22" i="9"/>
  <c r="J41" i="9" l="1"/>
  <c r="V41" i="9" s="1"/>
  <c r="V46" i="9"/>
  <c r="J46" i="9"/>
  <c r="U22" i="9"/>
  <c r="J33" i="9"/>
  <c r="V33" i="9" s="1"/>
  <c r="V38" i="9"/>
  <c r="J38" i="9"/>
  <c r="J25" i="9"/>
  <c r="V25" i="9" s="1"/>
  <c r="J30" i="9"/>
  <c r="V30" i="9" s="1"/>
  <c r="J22" i="9"/>
  <c r="V22" i="9" s="1"/>
  <c r="W22" i="9" s="1"/>
  <c r="V49" i="9"/>
  <c r="J49" i="9"/>
  <c r="J54" i="9"/>
  <c r="V54" i="9" s="1"/>
  <c r="U54" i="9"/>
  <c r="U49" i="9"/>
  <c r="W49" i="9" s="1"/>
  <c r="U25" i="9"/>
  <c r="U30" i="9"/>
  <c r="U41" i="9"/>
  <c r="U46" i="9"/>
  <c r="W46" i="9" s="1"/>
  <c r="U33" i="9"/>
  <c r="U38" i="9"/>
  <c r="W38" i="9" s="1"/>
  <c r="U3" i="9"/>
  <c r="T17" i="9"/>
  <c r="Q17" i="9"/>
  <c r="N17" i="9"/>
  <c r="W25" i="9" l="1"/>
  <c r="W54" i="9"/>
  <c r="W33" i="9"/>
  <c r="W41" i="9"/>
  <c r="W30" i="9"/>
  <c r="U17" i="9"/>
  <c r="B17" i="9"/>
  <c r="B10" i="9"/>
  <c r="I24" i="9"/>
  <c r="J24" i="9" s="1"/>
  <c r="I23" i="9"/>
  <c r="J23" i="9" s="1"/>
  <c r="I21" i="9"/>
  <c r="J21" i="9" s="1"/>
  <c r="I20" i="9"/>
  <c r="J20" i="9" s="1"/>
  <c r="I19" i="9"/>
  <c r="J19" i="9" s="1"/>
  <c r="I18" i="9"/>
  <c r="J18" i="9" s="1"/>
  <c r="I17" i="9"/>
  <c r="J17" i="9" s="1"/>
  <c r="I16" i="9"/>
  <c r="J16" i="9" s="1"/>
  <c r="I15" i="9"/>
  <c r="J15" i="9" s="1"/>
  <c r="I14" i="9"/>
  <c r="J14" i="9" s="1"/>
  <c r="I13" i="9"/>
  <c r="J13" i="9" s="1"/>
  <c r="I12" i="9"/>
  <c r="J12" i="9" s="1"/>
  <c r="I11" i="9"/>
  <c r="J11" i="9" s="1"/>
  <c r="I10" i="9"/>
  <c r="J10" i="9" s="1"/>
  <c r="B3" i="9"/>
  <c r="I3" i="9"/>
  <c r="J3" i="9" s="1"/>
  <c r="I4" i="9"/>
  <c r="J4" i="9" s="1"/>
  <c r="I5" i="9"/>
  <c r="J5" i="9" s="1"/>
  <c r="I6" i="9"/>
  <c r="J6" i="9" s="1"/>
  <c r="I7" i="9"/>
  <c r="J7" i="9" s="1"/>
  <c r="I8" i="9"/>
  <c r="J8" i="9" s="1"/>
  <c r="I9" i="9"/>
  <c r="J9" i="9" s="1"/>
  <c r="V3" i="9" l="1"/>
  <c r="W3" i="9" s="1"/>
  <c r="V17" i="9"/>
  <c r="W17" i="9" s="1"/>
  <c r="Y202" i="18" l="1"/>
  <c r="Y201" i="18"/>
  <c r="Y200" i="18"/>
  <c r="Y199" i="18"/>
  <c r="Y198" i="18"/>
  <c r="Y197" i="18"/>
  <c r="Y196" i="18"/>
  <c r="Y195" i="18"/>
  <c r="Y194" i="18"/>
  <c r="Y193" i="18"/>
  <c r="Y192" i="18"/>
  <c r="Y191" i="18"/>
  <c r="Y190" i="18"/>
  <c r="Y189" i="18"/>
  <c r="Y188" i="18"/>
  <c r="Y187" i="18"/>
  <c r="Y186" i="18"/>
  <c r="Y185" i="18"/>
  <c r="Y184" i="18"/>
  <c r="Y183" i="18"/>
  <c r="Y182" i="18"/>
  <c r="Y181" i="18"/>
  <c r="Y180" i="18"/>
  <c r="Y179" i="18"/>
  <c r="Y178" i="18"/>
  <c r="Y177" i="18"/>
  <c r="Y176" i="18"/>
  <c r="Y175" i="18"/>
  <c r="Y174" i="18"/>
  <c r="Y173" i="18"/>
  <c r="Y172" i="18"/>
  <c r="Y171" i="18"/>
  <c r="Y170" i="18"/>
  <c r="Y169" i="18"/>
  <c r="Y168" i="18"/>
  <c r="Y167" i="18"/>
  <c r="Y166" i="18"/>
  <c r="Y165" i="18"/>
  <c r="Y164" i="18"/>
  <c r="Y163" i="18"/>
  <c r="Y162" i="18"/>
  <c r="Y161" i="18"/>
  <c r="Y160" i="18"/>
  <c r="Y159" i="18"/>
  <c r="Y158" i="18"/>
  <c r="Y157" i="18"/>
  <c r="Y156" i="18"/>
  <c r="Y155" i="18"/>
  <c r="Y154" i="18"/>
  <c r="Y153" i="18"/>
  <c r="Y152" i="18"/>
  <c r="Y151" i="18"/>
  <c r="Y150" i="18"/>
  <c r="Y149" i="18"/>
  <c r="Y148" i="18"/>
  <c r="Y147" i="18"/>
  <c r="Y146" i="18"/>
  <c r="Y145" i="18"/>
  <c r="Y144" i="18"/>
  <c r="Y143" i="18"/>
  <c r="Y142" i="18"/>
  <c r="Y141" i="18"/>
  <c r="Y140" i="18"/>
  <c r="Y139" i="18"/>
  <c r="I8" i="18" l="1"/>
  <c r="I12" i="18"/>
  <c r="C41" i="9" s="1"/>
  <c r="I9" i="18"/>
  <c r="I13" i="18"/>
  <c r="C49" i="9" s="1"/>
  <c r="I10" i="18"/>
  <c r="C25" i="9" s="1"/>
  <c r="I7" i="18"/>
  <c r="I11" i="18"/>
  <c r="C33" i="9" s="1"/>
  <c r="J10" i="18" l="1"/>
  <c r="J8" i="18"/>
  <c r="C10" i="9"/>
  <c r="J13" i="18"/>
  <c r="J11" i="18"/>
  <c r="J9" i="18"/>
  <c r="C17" i="9"/>
  <c r="J7" i="18"/>
  <c r="C3" i="9"/>
  <c r="J12"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mayanksaxena</author>
  </authors>
  <commentList>
    <comment ref="M2" authorId="0" shapeId="0" xr:uid="{00000000-0006-0000-0400-000001000000}">
      <text>
        <r>
          <rPr>
            <b/>
            <sz val="9"/>
            <color indexed="81"/>
            <rFont val="Tahoma"/>
            <family val="2"/>
          </rPr>
          <t xml:space="preserve">Preventive Control Rating:
</t>
        </r>
        <r>
          <rPr>
            <sz val="9"/>
            <color indexed="81"/>
            <rFont val="Tahoma"/>
            <family val="2"/>
          </rPr>
          <t>5- Designed and operating, with no deficiencies
4- Designed and operating, with few deficiencies in terms of low risk issues.
3- Controls in place with few deficiencies in terms of medium risk issues.
2- Limited, high level of risk remains, significant deficiencies.
1-  Non-existent or has major deficiencies and do not operate as intended.</t>
        </r>
      </text>
    </comment>
    <comment ref="P2" authorId="0" shapeId="0" xr:uid="{00000000-0006-0000-0400-000002000000}">
      <text>
        <r>
          <rPr>
            <b/>
            <sz val="9"/>
            <color indexed="81"/>
            <rFont val="Tahoma"/>
            <family val="2"/>
          </rPr>
          <t xml:space="preserve">Detective Control Rating:
</t>
        </r>
        <r>
          <rPr>
            <sz val="9"/>
            <color indexed="81"/>
            <rFont val="Tahoma"/>
            <family val="2"/>
          </rPr>
          <t>5</t>
        </r>
        <r>
          <rPr>
            <b/>
            <sz val="9"/>
            <color indexed="81"/>
            <rFont val="Tahoma"/>
            <family val="2"/>
          </rPr>
          <t xml:space="preserve">- </t>
        </r>
        <r>
          <rPr>
            <sz val="9"/>
            <color indexed="81"/>
            <rFont val="Tahoma"/>
            <family val="2"/>
          </rPr>
          <t>Designed and operating, with no deficiencies.
4- Designed and operating, with few deficiencies in terms of low risk issues.
3- Controls in place with few deficiencies in terms of medium risk issues.
2- Limited, high level of risk remains, significant deficiencies.
1-  Non-existent or has major deficiencies and do not operate as intended.</t>
        </r>
      </text>
    </comment>
    <comment ref="S2" authorId="0" shapeId="0" xr:uid="{00000000-0006-0000-0400-000003000000}">
      <text>
        <r>
          <rPr>
            <b/>
            <sz val="9"/>
            <color indexed="81"/>
            <rFont val="Tahoma"/>
            <family val="2"/>
          </rPr>
          <t>Corrective Control Rating:</t>
        </r>
        <r>
          <rPr>
            <sz val="9"/>
            <color indexed="81"/>
            <rFont val="Tahoma"/>
            <family val="2"/>
          </rPr>
          <t xml:space="preserve">
5- Designed and operating, with no deficiencies.
4- Designed and operating, with few deficiencies in terms of</t>
        </r>
        <r>
          <rPr>
            <b/>
            <sz val="9"/>
            <color indexed="81"/>
            <rFont val="Tahoma"/>
            <family val="2"/>
          </rPr>
          <t xml:space="preserve"> </t>
        </r>
        <r>
          <rPr>
            <sz val="9"/>
            <color indexed="81"/>
            <rFont val="Tahoma"/>
            <family val="2"/>
          </rPr>
          <t>low risk issues.
3- Controls in place with few deficiencies in terms of medium risk issues.
2- Limited, high level of risk remains, significant deficiencies.
1-  Non-existent or has major deficiencies and do not operate as intended.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mayanksaxena</author>
  </authors>
  <commentList>
    <comment ref="B1" authorId="0" shapeId="0" xr:uid="{00000000-0006-0000-0700-000001000000}">
      <text>
        <r>
          <rPr>
            <b/>
            <sz val="9"/>
            <color indexed="81"/>
            <rFont val="Tahoma"/>
            <family val="2"/>
          </rPr>
          <t>mayanksaxena:</t>
        </r>
        <r>
          <rPr>
            <sz val="9"/>
            <color indexed="81"/>
            <rFont val="Tahoma"/>
            <family val="2"/>
          </rPr>
          <t xml:space="preserve">
Risk statement and threat mapping sheet - added</t>
        </r>
      </text>
    </comment>
  </commentList>
</comments>
</file>

<file path=xl/sharedStrings.xml><?xml version="1.0" encoding="utf-8"?>
<sst xmlns="http://schemas.openxmlformats.org/spreadsheetml/2006/main" count="1208" uniqueCount="268">
  <si>
    <t>Risk value</t>
  </si>
  <si>
    <t>Risk Impact</t>
  </si>
  <si>
    <t>Risk Probability</t>
  </si>
  <si>
    <t>Risk Evaluation Rating</t>
  </si>
  <si>
    <t>Management Decision</t>
  </si>
  <si>
    <t>Sno.</t>
  </si>
  <si>
    <t>Risk ID</t>
  </si>
  <si>
    <t>Risk Treatment Option</t>
  </si>
  <si>
    <r>
      <t>Description of activities</t>
    </r>
    <r>
      <rPr>
        <sz val="8"/>
        <rFont val="Calibri"/>
        <family val="2"/>
      </rPr>
      <t> </t>
    </r>
  </si>
  <si>
    <t>Necessary resources</t>
  </si>
  <si>
    <t>Implementation Priority</t>
  </si>
  <si>
    <t>Implementation Responsibility</t>
  </si>
  <si>
    <t>Proposed Deadline</t>
  </si>
  <si>
    <t>Actual Implementation Dates</t>
  </si>
  <si>
    <t>Risk Owner Comments</t>
  </si>
  <si>
    <t>Method for evaluation of results
(If applicable)</t>
  </si>
  <si>
    <r>
      <t>Status</t>
    </r>
    <r>
      <rPr>
        <sz val="8"/>
        <rFont val="Calibri"/>
        <family val="2"/>
      </rPr>
      <t> </t>
    </r>
  </si>
  <si>
    <t>Start</t>
  </si>
  <si>
    <t>Completion</t>
  </si>
  <si>
    <t>Low</t>
  </si>
  <si>
    <t>Moderate</t>
  </si>
  <si>
    <t>High</t>
  </si>
  <si>
    <t>Insignificant</t>
  </si>
  <si>
    <t>Serious</t>
  </si>
  <si>
    <t>Extreme</t>
  </si>
  <si>
    <t>Confidentiality</t>
  </si>
  <si>
    <t>Availability</t>
  </si>
  <si>
    <t>Integrity</t>
  </si>
  <si>
    <t>Medium</t>
  </si>
  <si>
    <t>Asset Classification</t>
  </si>
  <si>
    <t>Asset Valuation</t>
  </si>
  <si>
    <t>Asset business Value</t>
  </si>
  <si>
    <t>Threat</t>
  </si>
  <si>
    <t>Associated Vulnerabilities</t>
  </si>
  <si>
    <t>Reason for Acceptance</t>
  </si>
  <si>
    <t>Earthquake</t>
  </si>
  <si>
    <t>- Unauthorized usage of privacy information
- Papers containing restricted / confidential / privacy  content data lying unattended
- Paper distribution and handling not controlled
- Printouts left unattended at Printers
- Unsafe physical storage of the documents
- Lack of Physical Security Controls
- Presence of paper damaging items in nearby area
- Lack of trained security - Non-Compliance to information classification guidelines
- Unaware employees / associates on Information Security practices 
- Non-Disclosure Agreements not signed</t>
  </si>
  <si>
    <t>Asset Information</t>
  </si>
  <si>
    <t xml:space="preserve"> Type of Asset</t>
  </si>
  <si>
    <t>Location</t>
  </si>
  <si>
    <t>Asset Inventory</t>
  </si>
  <si>
    <t>Asset business value</t>
  </si>
  <si>
    <t>c</t>
  </si>
  <si>
    <t>i</t>
  </si>
  <si>
    <t>a</t>
  </si>
  <si>
    <t>Flood</t>
  </si>
  <si>
    <t>Fire</t>
  </si>
  <si>
    <t>Storms/Wind/Lightning</t>
  </si>
  <si>
    <t>Adverse Environmental Conditions</t>
  </si>
  <si>
    <t>Communications Failures (Telecom/ Internet/LAN)</t>
  </si>
  <si>
    <t>Unintentional failure of IT systems (hardware/software)</t>
  </si>
  <si>
    <t>Electronic Sabotage and malicious code</t>
  </si>
  <si>
    <t xml:space="preserve">Unauthorized physical access/ Physical theft </t>
  </si>
  <si>
    <t>Loss of key personnel/ Attrition/ Poaching</t>
  </si>
  <si>
    <t>Negligent/Uninformed users</t>
  </si>
  <si>
    <t xml:space="preserve">Social Unrest (strikes, terrorist attacks, riots, etc.) </t>
  </si>
  <si>
    <t>Inappropriate Information Disclosure</t>
  </si>
  <si>
    <t>- Inadequate control measures such as Lack of Lightning arrestors and sensors
- Inadequate coordination with public authorities (e.g. Police and Fire Dept.)
- Lack of adequate business continuity and disaster recovery plan.</t>
  </si>
  <si>
    <t>- Dependence on key personnel.
- Inadequate succession planning/ Knowledge management
- Lack of cross functional trainings
- Inadequate background checks for employees</t>
  </si>
  <si>
    <t>Existing Control Type</t>
  </si>
  <si>
    <t>- Inadequate redundancy measures (such as standby equipment and alternate service providers)
- Inadequate monitoring procedures 
- Lack of network management procedures
- Lack of change control procedures
- Inadequate incident reporting procedures
- Inadequate access control
- Lack of adequate business continuity plan</t>
  </si>
  <si>
    <t>- Inadequate employee training/ Awareness programs
- Lack of enforcement of policy through NDAs/ Penalty clauses</t>
  </si>
  <si>
    <t>- Lack of proper siting considerations and avoidance of areas prone to social unrest
- Inadequate physical security measures
- Lack of adequate communication with public authorities (such as the Police Dept.)
- Lack of adequate business continuity and disaster recovery plan</t>
  </si>
  <si>
    <t>Public Utilities Failure (Power/Water)</t>
  </si>
  <si>
    <t>- Lack of consideration towards siting of facility and avoidance of locations near water bodies
- Inadequate procedures for coordination with public authorities
- Lack of adequate business continuity and disaster recovery plan.</t>
  </si>
  <si>
    <t>Very Low</t>
  </si>
  <si>
    <t>Very High</t>
  </si>
  <si>
    <t>Methodology</t>
  </si>
  <si>
    <t>Risk Assessment and Risk Treatment Plan</t>
  </si>
  <si>
    <t>Impact</t>
  </si>
  <si>
    <t>Impact shall be quantified as a numerical quantity to reflect damage if a given threat successfully exploits a given vulnerability. Impact is not related to probability. This value allows us to rate on a relative scale the seriousness of a given risk independent of its probability.</t>
  </si>
  <si>
    <t>For this Risk Assessment the following scale shall be used to estimate impact:</t>
  </si>
  <si>
    <t>Impact Category</t>
  </si>
  <si>
    <t>Impact Definition</t>
  </si>
  <si>
    <t>Impact Rating</t>
  </si>
  <si>
    <t>Risk has negligible impact on business and operations</t>
  </si>
  <si>
    <t>Risk does not have significant impact on business and operations</t>
  </si>
  <si>
    <t>Risk has minimum impact on business and operations</t>
  </si>
  <si>
    <t>Risk has serious impact on business and operations</t>
  </si>
  <si>
    <t>Risk has catastrophic impact on business and operations</t>
  </si>
  <si>
    <t>Probability</t>
  </si>
  <si>
    <t>Probability is the likelihood of occurrence of a threat exploiting an identified vulnerability on an asset .Probability of the threat or failure should be captured after considering the vulnerabilities identified. For the purposes of this Risk Assessment the following scale shall be used to quantify probability.</t>
  </si>
  <si>
    <t>Probability Category</t>
  </si>
  <si>
    <t>Probability Definition</t>
  </si>
  <si>
    <t>Probability Rating</t>
  </si>
  <si>
    <t>Greater than one year</t>
  </si>
  <si>
    <t>Once every year</t>
  </si>
  <si>
    <t>Moderate / Medium: once every 4-6 months</t>
  </si>
  <si>
    <t>Major / High: once every 1-3 months</t>
  </si>
  <si>
    <t>Severe / Very high: more than once per month</t>
  </si>
  <si>
    <t>Risk Rating</t>
  </si>
  <si>
    <t>Risk value score</t>
  </si>
  <si>
    <t>0 to 5</t>
  </si>
  <si>
    <t>6 to 10</t>
  </si>
  <si>
    <t>11 to 15</t>
  </si>
  <si>
    <t>16 to 20</t>
  </si>
  <si>
    <t xml:space="preserve">Guidelines for Asset Inventorization </t>
  </si>
  <si>
    <t>Guidelines for determining the Asset Business Value</t>
  </si>
  <si>
    <t xml:space="preserve">
As a preliminary step the Business Impact on the organization due to the compromise of Confidentiality, Integrity, Availability (C, I, A) of the asset is captured individually and rated across four categories. (Insignificant, Moderate, Serious and Extreme). Business Impact on the organization may be Regulatory Impact, Financial Impact, Customer Service Impact, Health and Safety Impact, Operational  Impact and Reputational Impact. The guidelines for determining the business impact ratings are as shown below:
</t>
  </si>
  <si>
    <t xml:space="preserve">Once the Business Impact Ratings for the compromise of the C, I and A of the asset are determined then the overall Asset Business Value is determined by the Asset Value Chart as shown below: </t>
  </si>
  <si>
    <t>Asset Value</t>
  </si>
  <si>
    <t>Matrix</t>
  </si>
  <si>
    <t>Very low</t>
  </si>
  <si>
    <t>Value</t>
  </si>
  <si>
    <t>Very high</t>
  </si>
  <si>
    <r>
      <t xml:space="preserve">For example: If the Ratings for a particular asset have been determined as: </t>
    </r>
    <r>
      <rPr>
        <b/>
        <i/>
        <sz val="9"/>
        <rFont val="Arial"/>
        <family val="2"/>
      </rPr>
      <t>Confidentiality-Low, Availability-Low, Integrity-Serious</t>
    </r>
    <r>
      <rPr>
        <i/>
        <sz val="9"/>
        <rFont val="Arial"/>
        <family val="2"/>
      </rPr>
      <t>,</t>
    </r>
    <r>
      <rPr>
        <sz val="9"/>
        <rFont val="Arial"/>
        <family val="2"/>
      </rPr>
      <t xml:space="preserve"> </t>
    </r>
    <r>
      <rPr>
        <sz val="9"/>
        <color theme="1"/>
        <rFont val="Calibri"/>
        <family val="2"/>
        <scheme val="minor"/>
      </rPr>
      <t xml:space="preserve">then the Asset Business Value is </t>
    </r>
    <r>
      <rPr>
        <b/>
        <i/>
        <sz val="9"/>
        <rFont val="Arial"/>
        <family val="2"/>
      </rPr>
      <t>"Low"</t>
    </r>
    <r>
      <rPr>
        <sz val="9"/>
        <color theme="1"/>
        <rFont val="Calibri"/>
        <family val="2"/>
        <scheme val="minor"/>
      </rPr>
      <t xml:space="preserve"> as indicated in cell C16. </t>
    </r>
  </si>
  <si>
    <t>Asset Business Value</t>
  </si>
  <si>
    <t>Definition</t>
  </si>
  <si>
    <t>Color</t>
  </si>
  <si>
    <t xml:space="preserve">Very low impact on business if C,I and A of asset gets compromised </t>
  </si>
  <si>
    <t xml:space="preserve">Low impact on business if C,I and A of asset gets compromised </t>
  </si>
  <si>
    <t xml:space="preserve">Medium impact on business if C,I and A of asset gets compromised </t>
  </si>
  <si>
    <t xml:space="preserve">High impact on business if C,I and A of asset gets compromised </t>
  </si>
  <si>
    <t xml:space="preserve">Very high impact on business if C,I and A of asset gets compromised </t>
  </si>
  <si>
    <t>Guidelines for determining the Asset Security Classification</t>
  </si>
  <si>
    <t>- Absence of fire detection and fire fighting equipment (such as fire extinguishers, sprinklers, fire and smoke detectors)
- Presence of flammable materials within the facility: Office stationary such as cardboard, paper, etc. is stored within the premises; Unwanted flammable material is present in the server room.
- Lack of fire drills/evacuation procedures, inspection of fire-fighting equipment.
- Lack of consideration to siting and proximity to hazardous establishments (such as fuel depots, gas stations)
- Inadequate coordination with public authorities (such as Police and Fire Dept.)
- Lack of adequate business continuity and disaster recovery plan
-Lack of  monitoring procedures for temperature and humidity controls.
-Lack of inspection / malfunctioning of fire-fighting, fire-supression, fire alerting and fire exits</t>
  </si>
  <si>
    <t>Business Impact - due to loss of Integrity</t>
  </si>
  <si>
    <t>Business Impact - due to loss of Availability</t>
  </si>
  <si>
    <t>Business Impact - due to loss of Confidentiality</t>
  </si>
  <si>
    <t>Threats</t>
  </si>
  <si>
    <r>
      <t>- Lack of an environmental controls such as temperature and humidity Controls</t>
    </r>
    <r>
      <rPr>
        <sz val="10"/>
        <color indexed="22"/>
        <rFont val="Book Antiqua"/>
        <family val="1"/>
      </rPr>
      <t xml:space="preserve">
- </t>
    </r>
    <r>
      <rPr>
        <sz val="10"/>
        <rFont val="Book Antiqua"/>
        <family val="1"/>
      </rPr>
      <t>Lack of adequate maintenance procedures (e.g. AMCs)
- Lack of monitoring procedures</t>
    </r>
  </si>
  <si>
    <t>- Lack of adequate backup measures for backup power supply 
- Inadequate monitoring procedures
- Inadequate incident reporting procedures
- Inadequate maintenance procedures (e.g. AMCs)
- Lack of adequate business continuity plan</t>
  </si>
  <si>
    <r>
      <t>- Inadequate backup and restoration procedures
- Lack of capacity management and performance monitoring procedures
- Inadequate OS hardening
- Inadequate version/configuration control procedures
- Inadequate change/patch management procedures
- Inadequate incident reporting procedures
- Absence of periodic equipment maintenance</t>
    </r>
    <r>
      <rPr>
        <i/>
        <sz val="10"/>
        <rFont val="Book Antiqua"/>
        <family val="1"/>
      </rPr>
      <t xml:space="preserve">
- </t>
    </r>
    <r>
      <rPr>
        <sz val="10"/>
        <rFont val="Book Antiqua"/>
        <family val="1"/>
      </rPr>
      <t>Lack of adequate business continuity plan</t>
    </r>
    <r>
      <rPr>
        <i/>
        <sz val="10"/>
        <rFont val="Book Antiqua"/>
        <family val="1"/>
      </rPr>
      <t xml:space="preserve">
- </t>
    </r>
    <r>
      <rPr>
        <sz val="10"/>
        <rFont val="Book Antiqua"/>
        <family val="1"/>
      </rPr>
      <t>Lack of current and accessible documentation</t>
    </r>
  </si>
  <si>
    <r>
      <t>- Inadequate procedures on OS hardening
- Absence of latest security patches
- Inadequate Anti-virus definition updates
- Inadequate information security awareness amongst users
- Insufficient audit trails and lack of review of logs
- Inadequate incident reporting procedures</t>
    </r>
    <r>
      <rPr>
        <i/>
        <sz val="10"/>
        <rFont val="Book Antiqua"/>
        <family val="1"/>
      </rPr>
      <t xml:space="preserve">
- </t>
    </r>
    <r>
      <rPr>
        <sz val="10"/>
        <rFont val="Book Antiqua"/>
        <family val="1"/>
      </rPr>
      <t>Absence of definition and implementation of restrictions on usage of removable media
- Inadequate user management procedures
- Inadequate user privileges review
- Lack of change control procedures
- Inadequate network access restrictions
- Inadequately protected security software/tools
- Inadequate implementation of password controls</t>
    </r>
  </si>
  <si>
    <t>Medical Emergencies</t>
  </si>
  <si>
    <t>- Lack of emergency health care on premises
- Inadequate tie-ups with hospitals</t>
  </si>
  <si>
    <t>- Lack of restrictions on material movement
- Lack of restrictions on physical entry and exit from the premises
- Inadequate physical security policy
- Inadequate physical monitoring of premises
- Lack of adequate coordination with public authorities (e.g. Police Dept.)
- Lack of awareness amongst users
- Inadequate protection of material in transit
- Facility is housed in a building that is shared with other companies.</t>
  </si>
  <si>
    <t>Litigation Liabilities</t>
  </si>
  <si>
    <t>- Inadequate license management procedures
- Inadequate clauses in contractual agreements
- Inadequate awareness of applicable laws
- Lack of legal warning banner displayed before login screen</t>
  </si>
  <si>
    <t>Fraud</t>
  </si>
  <si>
    <t>- Inadequate segregation of duties
- Inadequate background checks for employees</t>
  </si>
  <si>
    <t>Lower Employee morale / Disgruntled Employee</t>
  </si>
  <si>
    <t>- Poor career planning and succession planning
- Improper / Inadequate HR polices
- Lack of disciplinary process
- Poor employee redressal</t>
  </si>
  <si>
    <t>Ineffective Third party governance</t>
  </si>
  <si>
    <t>- Partner monitoring not in place 
- Review meetings not conducted
- Escalation Matrix not updated.</t>
  </si>
  <si>
    <t>Risk Statements</t>
  </si>
  <si>
    <t>Residual Risk Rating</t>
  </si>
  <si>
    <t>S.no</t>
  </si>
  <si>
    <t>Risk Statement</t>
  </si>
  <si>
    <t>Violation of legislation and/or regulation</t>
  </si>
  <si>
    <t>#</t>
  </si>
  <si>
    <t>Impairment of business performance</t>
  </si>
  <si>
    <t xml:space="preserve"> Loss of goodwill/negative effect on reputation</t>
  </si>
  <si>
    <t xml:space="preserve"> Breach associated with personal information</t>
  </si>
  <si>
    <t xml:space="preserve"> Endangerment of personal safety</t>
  </si>
  <si>
    <t>Adverse effects on law enforcement</t>
  </si>
  <si>
    <t>Breach of confidentiality</t>
  </si>
  <si>
    <t>Financial loss</t>
  </si>
  <si>
    <t>Disruption to business activities</t>
  </si>
  <si>
    <t>Endangerment of environmental safety</t>
  </si>
  <si>
    <t xml:space="preserve"> Interruption of service</t>
  </si>
  <si>
    <t>Inability to provide the service</t>
  </si>
  <si>
    <t xml:space="preserve"> Loss of customer confidence</t>
  </si>
  <si>
    <t xml:space="preserve"> loss of credibility in the internal information system</t>
  </si>
  <si>
    <t xml:space="preserve"> Disruption of internal operation</t>
  </si>
  <si>
    <t xml:space="preserve"> disruption in the organization itself</t>
  </si>
  <si>
    <t xml:space="preserve"> additional internal cost</t>
  </si>
  <si>
    <t xml:space="preserve"> Disruption of a third party's operation:</t>
  </si>
  <si>
    <t xml:space="preserve"> disruption in third parties transacting with the organization</t>
  </si>
  <si>
    <t xml:space="preserve"> various types of injury</t>
  </si>
  <si>
    <t xml:space="preserve"> inability to fulfill legal obligations</t>
  </si>
  <si>
    <t xml:space="preserve"> Breach of contract:</t>
  </si>
  <si>
    <t xml:space="preserve"> inability to fulfill contractual obligations</t>
  </si>
  <si>
    <t xml:space="preserve"> Danger to personnel / user safety:</t>
  </si>
  <si>
    <t xml:space="preserve"> danger for the organization's personnel and / or users</t>
  </si>
  <si>
    <t xml:space="preserve"> Loss of goods / funds / assets</t>
  </si>
  <si>
    <t xml:space="preserve"> Loss of customers, loss of suppliers</t>
  </si>
  <si>
    <t xml:space="preserve"> Judicial proceedings and penalties</t>
  </si>
  <si>
    <t xml:space="preserve"> Loss of a competitive advantage</t>
  </si>
  <si>
    <t xml:space="preserve"> Industrial crisis (strikes)</t>
  </si>
  <si>
    <t xml:space="preserve"> Government crisis</t>
  </si>
  <si>
    <t xml:space="preserve"> Dismissal</t>
  </si>
  <si>
    <t xml:space="preserve"> Material damage</t>
  </si>
  <si>
    <t xml:space="preserve"> Financial loss</t>
  </si>
  <si>
    <t xml:space="preserve"> Disruption to business activities</t>
  </si>
  <si>
    <t xml:space="preserve"> inability to provide the service</t>
  </si>
  <si>
    <t xml:space="preserve">Formula 1: Risk Value: 
Risk value is calculated basis the below given formula:
Risk value = (Risk Impact*Risk Probability)
Formual 2: Risk Evaluation Rating
Risk evaluation rating is bucketing of Risk value as perthe mentioned:
</t>
  </si>
  <si>
    <t>Control Rating</t>
  </si>
  <si>
    <t>Residual Risk Value</t>
  </si>
  <si>
    <t>Business Impact Rating</t>
  </si>
  <si>
    <t>Loss of Confidentiality</t>
  </si>
  <si>
    <t>Loss of Integrity</t>
  </si>
  <si>
    <t>Loss of Availability</t>
  </si>
  <si>
    <t>Disclosure within or outside the organization will not harm the interest of the organization but maybe considered inappropriate.</t>
  </si>
  <si>
    <t>Unauthorized modification or damage of information is expected to have a low adverse effect on business operations.</t>
  </si>
  <si>
    <t>Impact of disruption of access or unavailability of information or information asset or services is expected to have a low adverse effect on business operations.</t>
  </si>
  <si>
    <t>Unauthorized disclosure within or outside the organization may harm the interest of the organization.</t>
  </si>
  <si>
    <t>Unauthorized modification or damage of information is expected to have a moderate adverse effect on business operations.</t>
  </si>
  <si>
    <t>Impact of disruption of access or unavailability of information or information asset or services is expected to have a moderate adverse effect on business operations.</t>
  </si>
  <si>
    <t>Unauthorized disclosure within or outside the organization would cause significant harm to the interest of the organization.</t>
  </si>
  <si>
    <t>Unauthorized modification or damage of information is expected to have a serious adverse effect on business operations.</t>
  </si>
  <si>
    <t>Impact of disruption of access or unavailability of information or information asset or services is expected to have a serious adverse effect on business operations.</t>
  </si>
  <si>
    <t>Unauthorized disclosure within or outside the organization would cause serious damage to the interests of the organization. Disclosure within the organization will be strictly on a ‘need-to-know’ basis.</t>
  </si>
  <si>
    <t>Unauthorized modification or damage of information is expected to have severe and long ranging adverse effect on business operations.</t>
  </si>
  <si>
    <t>Impact of disruption of access or unavailability of information or information asset or services is expected to have severe and long ranging adverse effect on business operations.</t>
  </si>
  <si>
    <t>HIgh</t>
  </si>
  <si>
    <t>Function_Name</t>
  </si>
  <si>
    <t>Asset Class Name (Title / Description of Asset)</t>
  </si>
  <si>
    <t>Asset Class Owner</t>
  </si>
  <si>
    <t>Preventive Controls (P)</t>
  </si>
  <si>
    <t>(P) Rating</t>
  </si>
  <si>
    <t>Detective Controls (D)</t>
  </si>
  <si>
    <t>(D) Rating</t>
  </si>
  <si>
    <t>Corrective Controls ©</t>
  </si>
  <si>
    <t>© Rating</t>
  </si>
  <si>
    <t>Treat</t>
  </si>
  <si>
    <t>Low Critical</t>
  </si>
  <si>
    <t>Medium Critical</t>
  </si>
  <si>
    <t>High Critical</t>
  </si>
  <si>
    <t>Very High Critical</t>
  </si>
  <si>
    <t>Based on the Asset Business Value, classify the assets for criticality as per the following table:</t>
  </si>
  <si>
    <t xml:space="preserve">Asset Business Value </t>
  </si>
  <si>
    <t>Asset Criticality Classification</t>
  </si>
  <si>
    <t>Description</t>
  </si>
  <si>
    <t>Very low impact on business if C,I and A of asset gets compromised</t>
  </si>
  <si>
    <t>Low impact on business if C,I and A of asset gets compromised</t>
  </si>
  <si>
    <t>Medium impact on business if C,I and A of asset gets compromised</t>
  </si>
  <si>
    <t>High impact on business if C,I and A of asset gets compromised</t>
  </si>
  <si>
    <t>Very high Critical</t>
  </si>
  <si>
    <t>Very high impact on business if C,I and A of asset gets compromised</t>
  </si>
  <si>
    <t>Asset Inventorization is done based on discussions with the asset class / business owner. Information pertaining to the asset including type of the asset, format, location, license information is captured in the Asset Inventory (shown in the next spreadsheet) as required by ISO 27001. In addition a business value and a security classification is assigned to the asset and captured in the Asset Inventory. The various steps as a part of Asset Inventorization are as shown below:</t>
  </si>
  <si>
    <t xml:space="preserve">The asset inventory is populated function wise based on discussions with the asset class / function owner. After capturing preliminary information regarding the asset, the Business Impact Ratings due to the compromise of the C, I &amp; A of the asset are captured as per the Asset Valuation Guidelines, previously mentioned, and the overall Business Value of the asset is automatically derived by the tool kit. (as per the Asset Value Chart previously mentioned) </t>
  </si>
  <si>
    <t>Average of Preventive Control Rating</t>
  </si>
  <si>
    <t>Average of Detective Control Rating</t>
  </si>
  <si>
    <t>Average of Corrective Control Rating</t>
  </si>
  <si>
    <t>Risk Value</t>
  </si>
  <si>
    <t>Accept</t>
  </si>
  <si>
    <t>NA</t>
  </si>
  <si>
    <t>&lt;reason for acceptance&gt;</t>
  </si>
  <si>
    <t>Na</t>
  </si>
  <si>
    <t>3: Post identification of risk rating, current controls shall be identified basis preventive, detective and corrective controls which are already in place, to minimize the impact of the respective risks due to the underlying vulnerabilities and threats. The controls are rated on a scale of 1 to 5, basis the following rating definitions defined in the template.</t>
  </si>
  <si>
    <t>Preventive/Detective/Corrective Control Rating</t>
  </si>
  <si>
    <t>Non-existent or has major deficiencies and do not operate as intended.</t>
  </si>
  <si>
    <t xml:space="preserve"> Limited, high level of risk remains, significant deficiencies.</t>
  </si>
  <si>
    <t>Controls in place with few deficiencies in terms of medium risk issues.</t>
  </si>
  <si>
    <t>Designed and operating, with few deficiencies in terms of low risk issues.</t>
  </si>
  <si>
    <t>Designed and operating, with no deficiencies.</t>
  </si>
  <si>
    <t>21 to 25</t>
  </si>
  <si>
    <r>
      <rPr>
        <b/>
        <sz val="9"/>
        <color theme="1"/>
        <rFont val="Book Antiqua"/>
        <family val="1"/>
      </rPr>
      <t>Asset Class Name1</t>
    </r>
    <r>
      <rPr>
        <sz val="9"/>
        <color theme="1"/>
        <rFont val="Book Antiqua"/>
        <family val="1"/>
      </rPr>
      <t xml:space="preserve">
</t>
    </r>
    <r>
      <rPr>
        <u/>
        <sz val="9"/>
        <color theme="1"/>
        <rFont val="Book Antiqua"/>
        <family val="1"/>
      </rPr>
      <t>Description:-
Examples:-</t>
    </r>
  </si>
  <si>
    <r>
      <rPr>
        <b/>
        <sz val="9"/>
        <color theme="1"/>
        <rFont val="Book Antiqua"/>
        <family val="1"/>
      </rPr>
      <t>Asset Class Name2</t>
    </r>
    <r>
      <rPr>
        <sz val="9"/>
        <color theme="1"/>
        <rFont val="Book Antiqua"/>
        <family val="1"/>
      </rPr>
      <t xml:space="preserve">
</t>
    </r>
    <r>
      <rPr>
        <u/>
        <sz val="9"/>
        <color theme="1"/>
        <rFont val="Book Antiqua"/>
        <family val="1"/>
      </rPr>
      <t>Description:-
Examples:-</t>
    </r>
  </si>
  <si>
    <r>
      <rPr>
        <b/>
        <sz val="9"/>
        <color theme="1"/>
        <rFont val="Book Antiqua"/>
        <family val="1"/>
      </rPr>
      <t>Asset Class Name3</t>
    </r>
    <r>
      <rPr>
        <sz val="9"/>
        <color theme="1"/>
        <rFont val="Book Antiqua"/>
        <family val="1"/>
      </rPr>
      <t xml:space="preserve">
</t>
    </r>
    <r>
      <rPr>
        <u/>
        <sz val="9"/>
        <color theme="1"/>
        <rFont val="Book Antiqua"/>
        <family val="1"/>
      </rPr>
      <t>Description:-
Examples:-</t>
    </r>
  </si>
  <si>
    <r>
      <rPr>
        <b/>
        <sz val="9"/>
        <color theme="1"/>
        <rFont val="Book Antiqua"/>
        <family val="1"/>
      </rPr>
      <t>Asset Class Name4</t>
    </r>
    <r>
      <rPr>
        <sz val="9"/>
        <color theme="1"/>
        <rFont val="Book Antiqua"/>
        <family val="1"/>
      </rPr>
      <t xml:space="preserve">
</t>
    </r>
    <r>
      <rPr>
        <u/>
        <sz val="9"/>
        <color theme="1"/>
        <rFont val="Book Antiqua"/>
        <family val="1"/>
      </rPr>
      <t>Description:-
Examples:-</t>
    </r>
  </si>
  <si>
    <r>
      <rPr>
        <b/>
        <sz val="9"/>
        <color theme="1"/>
        <rFont val="Book Antiqua"/>
        <family val="1"/>
      </rPr>
      <t>Asset Class Name5</t>
    </r>
    <r>
      <rPr>
        <sz val="9"/>
        <color theme="1"/>
        <rFont val="Book Antiqua"/>
        <family val="1"/>
      </rPr>
      <t xml:space="preserve">
</t>
    </r>
    <r>
      <rPr>
        <u/>
        <sz val="9"/>
        <color theme="1"/>
        <rFont val="Book Antiqua"/>
        <family val="1"/>
      </rPr>
      <t>Description:-
Examples:-</t>
    </r>
  </si>
  <si>
    <r>
      <rPr>
        <b/>
        <sz val="9"/>
        <color theme="1"/>
        <rFont val="Book Antiqua"/>
        <family val="1"/>
      </rPr>
      <t>Asset Class Name6</t>
    </r>
    <r>
      <rPr>
        <sz val="9"/>
        <color theme="1"/>
        <rFont val="Book Antiqua"/>
        <family val="1"/>
      </rPr>
      <t xml:space="preserve">
</t>
    </r>
    <r>
      <rPr>
        <u/>
        <sz val="9"/>
        <color theme="1"/>
        <rFont val="Book Antiqua"/>
        <family val="1"/>
      </rPr>
      <t>Description:-
Examples:-</t>
    </r>
  </si>
  <si>
    <r>
      <rPr>
        <b/>
        <sz val="9"/>
        <color theme="1"/>
        <rFont val="Book Antiqua"/>
        <family val="1"/>
      </rPr>
      <t>Asset Class Name7</t>
    </r>
    <r>
      <rPr>
        <sz val="9"/>
        <color theme="1"/>
        <rFont val="Book Antiqua"/>
        <family val="1"/>
      </rPr>
      <t xml:space="preserve">
</t>
    </r>
    <r>
      <rPr>
        <u/>
        <sz val="9"/>
        <color theme="1"/>
        <rFont val="Book Antiqua"/>
        <family val="1"/>
      </rPr>
      <t>Description:-
Examples:-</t>
    </r>
  </si>
  <si>
    <r>
      <rPr>
        <b/>
        <sz val="9"/>
        <color theme="1"/>
        <rFont val="Book Antiqua"/>
        <family val="1"/>
      </rPr>
      <t>Risk assessment and treatment plan</t>
    </r>
    <r>
      <rPr>
        <sz val="9"/>
        <color theme="1"/>
        <rFont val="Book Antiqua"/>
        <family val="1"/>
      </rPr>
      <t xml:space="preserve">
</t>
    </r>
    <r>
      <rPr>
        <b/>
        <sz val="9"/>
        <color theme="1"/>
        <rFont val="Book Antiqua"/>
        <family val="1"/>
      </rPr>
      <t>Objective</t>
    </r>
    <r>
      <rPr>
        <sz val="9"/>
        <color theme="1"/>
        <rFont val="Book Antiqua"/>
        <family val="1"/>
      </rPr>
      <t xml:space="preserve">
Identifications of risks to asset class for threats identified and determining the action plans against risks where existing controls are not effective. The Risk Treatment approach lists the threats and risk ratings arrived at, in the Risk Assessment exercise.  Basis the risk evaluation rating, Risk treatment strategies is adopted to treat each of the identified threats.
</t>
    </r>
    <r>
      <rPr>
        <b/>
        <sz val="9"/>
        <color theme="1"/>
        <rFont val="Book Antiqua"/>
        <family val="1"/>
      </rPr>
      <t>Methodology</t>
    </r>
    <r>
      <rPr>
        <sz val="9"/>
        <color theme="1"/>
        <rFont val="Book Antiqua"/>
        <family val="1"/>
      </rPr>
      <t xml:space="preserve">
Post identification of the asset classes and asset business value , Risk Assessment shall be conducted. All identified asset classes shall be subject to applicable threat  and vulnerabilities
The following steps are to be executed while conducting risk assessment scale shall be used
</t>
    </r>
  </si>
  <si>
    <r>
      <t>The current controls rating is taken from the value of Preventive, Detective, and Corrective. Weightage of preventive control is taken as 1, weightage of detective control is taken as 0.75 and weightage of Corrective controls is taken as 0.5; in order to proactively reduce the probability and impact of the threat to materialize.
Formula#3: (Current Control Rating) = FLOOR (AVERAGE(Preventive Control Rating *1,Detective Control Rating *0.75, Corrective Control Rating*0.5)
4: The difference between risk rating and current control rating shall be considered to determine residual risk basis which Management Decision shall be triggered
Formula#4 (Calculation of Residual Risk): Risk Rating – Control Rating
Residual Risk value shall be either 1, 2, 3, 4 or 5.
Risk appetite  is the amount and type of risk that organization can sustain with; without adversely affecting its business operations. In case of derived residual risk is less than or equal to ‘2’, the pertaining risks shall be a part of organizations as risk appetite. In cases where the residual risk is more than ‘2’, mitigation shall be required. The management shall review the risk description and direct the further actions basis the 4T methodology:
•</t>
    </r>
    <r>
      <rPr>
        <b/>
        <u/>
        <sz val="9"/>
        <color theme="1"/>
        <rFont val="Book Antiqua"/>
        <family val="1"/>
      </rPr>
      <t xml:space="preserve"> Treat:</t>
    </r>
    <r>
      <rPr>
        <b/>
        <sz val="9"/>
        <color theme="1"/>
        <rFont val="Book Antiqua"/>
        <family val="1"/>
      </rPr>
      <t xml:space="preserve"> involves taking action to reduce the risk by lessening the impact. This can involve improved procedures or training, investing in new equipment, changing legislation, etc.
•</t>
    </r>
    <r>
      <rPr>
        <b/>
        <u/>
        <sz val="9"/>
        <color theme="1"/>
        <rFont val="Book Antiqua"/>
        <family val="1"/>
      </rPr>
      <t xml:space="preserve"> Accept: </t>
    </r>
    <r>
      <rPr>
        <b/>
        <sz val="9"/>
        <color theme="1"/>
        <rFont val="Book Antiqua"/>
        <family val="1"/>
      </rPr>
      <t xml:space="preserve">involves accepting the risk and its impact as it stands that is self-insure or decide to cover any losses. Risks we have failed to identify are classed as being tolerated without knowledge
• </t>
    </r>
    <r>
      <rPr>
        <b/>
        <u/>
        <sz val="9"/>
        <color theme="1"/>
        <rFont val="Book Antiqua"/>
        <family val="1"/>
      </rPr>
      <t xml:space="preserve">Transfer: </t>
    </r>
    <r>
      <rPr>
        <b/>
        <sz val="9"/>
        <color theme="1"/>
        <rFont val="Book Antiqua"/>
        <family val="1"/>
      </rPr>
      <t xml:space="preserve">involves deciding to pass the risk or costs of the impact outside the organization, that is contract out the risk or take out insurance to cover the costs of the impact
• </t>
    </r>
    <r>
      <rPr>
        <b/>
        <u/>
        <sz val="9"/>
        <color theme="1"/>
        <rFont val="Book Antiqua"/>
        <family val="1"/>
      </rPr>
      <t xml:space="preserve">Terminate: </t>
    </r>
    <r>
      <rPr>
        <b/>
        <sz val="9"/>
        <color theme="1"/>
        <rFont val="Book Antiqua"/>
        <family val="1"/>
      </rPr>
      <t>involves deciding to eliminate the risk by ceasing the activity on the pursuance of the objective that presents the risk</t>
    </r>
  </si>
  <si>
    <t>Risk Assessment Form</t>
  </si>
  <si>
    <t>Business / Support</t>
  </si>
  <si>
    <t>Project Name / Support Group:</t>
  </si>
  <si>
    <t>Delivery Location(s)</t>
  </si>
  <si>
    <t>Scope of Risk Assessment</t>
  </si>
  <si>
    <t xml:space="preserve">Prepared by </t>
  </si>
  <si>
    <t>Reviewed by (Engagement Manager)</t>
  </si>
  <si>
    <t>Approved by (Risk Owner)</t>
  </si>
  <si>
    <t>Risk Treatment Plan Status</t>
  </si>
  <si>
    <t>Draft</t>
  </si>
  <si>
    <t>Last updated</t>
  </si>
  <si>
    <t>Next Review date</t>
  </si>
  <si>
    <t>Version Number</t>
  </si>
  <si>
    <t>Date of Approval</t>
  </si>
  <si>
    <t>Reviewed By</t>
  </si>
  <si>
    <t>Approved By</t>
  </si>
  <si>
    <t>Change Description</t>
  </si>
  <si>
    <t>Project / Support  Code</t>
  </si>
  <si>
    <t>Risk Owner's Employee ID</t>
  </si>
  <si>
    <r>
      <rPr>
        <b/>
        <sz val="11"/>
        <color indexed="9"/>
        <rFont val="Book Antiqua"/>
        <family val="1"/>
      </rPr>
      <t>Declaration:</t>
    </r>
    <r>
      <rPr>
        <sz val="11"/>
        <color indexed="9"/>
        <rFont val="Book Antiqua"/>
        <family val="1"/>
      </rPr>
      <t xml:space="preserve">
I &lt;&lt;Enter Name of Risk Owner&gt;, &lt;&lt;Enter Employee ID&gt;&gt;, hereby, approve the information security risk treatment plan and accept the residual information security risks</t>
    </r>
  </si>
  <si>
    <t>- Unavailability / Damage to critical information on paper
-Lack of consideration towards siting of facility and avoidance of areas susceptible to seismic activity: Facility may locate in zone that falls under seismic zone 4.
-Lack of adequate business continuity and disaster recovery plan.
-Lack of adequate procedures to contact appropriate external authorities for remedial/recovery actions 
-Lack of preventive controls in place to mitigate risks from damage from earthquakes
-Lack of adequate exercising and evacuation practices.
- Lack of Site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</si>
</sst>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1"/>
      <color theme="1"/>
      <name val="Calibri"/>
      <family val="2"/>
      <scheme val="minor"/>
    </font>
    <font>
      <sz val="12"/>
      <color theme="1"/>
      <name val="Times New Roman"/>
      <family val="2"/>
    </font>
    <font>
      <sz val="10"/>
      <name val="Arial"/>
      <family val="2"/>
    </font>
    <font>
      <sz val="10"/>
      <color theme="1"/>
      <name val="Arial"/>
      <family val="2"/>
    </font>
    <font>
      <sz val="10"/>
      <name val="Calibri"/>
      <family val="2"/>
      <charset val="1"/>
    </font>
    <font>
      <b/>
      <sz val="11"/>
      <color theme="0"/>
      <name val="Book Antiqua"/>
      <family val="1"/>
    </font>
    <font>
      <b/>
      <sz val="10"/>
      <color theme="0"/>
      <name val="Book Antiqua"/>
      <family val="1"/>
    </font>
    <font>
      <sz val="10"/>
      <name val="Book Antiqua"/>
      <family val="1"/>
    </font>
    <font>
      <sz val="8"/>
      <name val="Calibri"/>
      <family val="2"/>
    </font>
    <font>
      <sz val="11"/>
      <name val="Book Antiqua"/>
      <family val="1"/>
    </font>
    <font>
      <b/>
      <sz val="9"/>
      <color indexed="81"/>
      <name val="Tahoma"/>
      <family val="2"/>
    </font>
    <font>
      <sz val="10"/>
      <name val="Arial"/>
      <family val="2"/>
    </font>
    <font>
      <b/>
      <sz val="11"/>
      <color rgb="FFFFFFFF"/>
      <name val="Book Antiqua"/>
      <family val="1"/>
    </font>
    <font>
      <sz val="11"/>
      <color theme="1"/>
      <name val="Book Antiqua"/>
      <family val="1"/>
    </font>
    <font>
      <sz val="9"/>
      <color theme="1"/>
      <name val="Book Antiqua"/>
      <family val="1"/>
    </font>
    <font>
      <sz val="10"/>
      <name val="Arial"/>
      <family val="2"/>
    </font>
    <font>
      <sz val="8"/>
      <name val="Arial"/>
      <family val="2"/>
    </font>
    <font>
      <b/>
      <sz val="8"/>
      <name val="Arial"/>
      <family val="2"/>
    </font>
    <font>
      <sz val="10"/>
      <name val="Tahoma"/>
      <family val="2"/>
    </font>
    <font>
      <sz val="11"/>
      <color theme="1"/>
      <name val="Arial"/>
      <family val="2"/>
    </font>
    <font>
      <b/>
      <sz val="9"/>
      <color theme="1"/>
      <name val="Book Antiqua"/>
      <family val="1"/>
    </font>
    <font>
      <b/>
      <sz val="11"/>
      <color theme="1"/>
      <name val="Book Antiqua"/>
      <family val="1"/>
    </font>
    <font>
      <b/>
      <sz val="11"/>
      <name val="Book Antiqua"/>
      <family val="1"/>
    </font>
    <font>
      <i/>
      <sz val="10"/>
      <name val="Book Antiqua"/>
      <family val="1"/>
    </font>
    <font>
      <sz val="10"/>
      <color indexed="22"/>
      <name val="Book Antiqua"/>
      <family val="1"/>
    </font>
    <font>
      <sz val="10"/>
      <color rgb="FF000000"/>
      <name val="Arial"/>
      <family val="2"/>
    </font>
    <font>
      <sz val="9"/>
      <name val="Arial"/>
      <family val="2"/>
    </font>
    <font>
      <b/>
      <i/>
      <sz val="8"/>
      <name val="Arial"/>
      <family val="2"/>
    </font>
    <font>
      <b/>
      <i/>
      <sz val="9"/>
      <name val="Arial"/>
      <family val="2"/>
    </font>
    <font>
      <i/>
      <sz val="9"/>
      <name val="Arial"/>
      <family val="2"/>
    </font>
    <font>
      <sz val="9"/>
      <color theme="1"/>
      <name val="Calibri"/>
      <family val="2"/>
      <scheme val="minor"/>
    </font>
    <font>
      <sz val="10"/>
      <color theme="1"/>
      <name val="Book Antiqua"/>
      <family val="1"/>
    </font>
    <font>
      <sz val="9"/>
      <name val="Book Antiqua"/>
      <family val="1"/>
    </font>
    <font>
      <b/>
      <sz val="11"/>
      <color theme="0"/>
      <name val="Calibri"/>
      <family val="2"/>
      <scheme val="minor"/>
    </font>
    <font>
      <sz val="9"/>
      <color indexed="81"/>
      <name val="Tahoma"/>
      <family val="2"/>
    </font>
    <font>
      <b/>
      <u/>
      <sz val="9"/>
      <color theme="1"/>
      <name val="Book Antiqua"/>
      <family val="1"/>
    </font>
    <font>
      <u/>
      <sz val="9"/>
      <color theme="1"/>
      <name val="Book Antiqua"/>
      <family val="1"/>
    </font>
    <font>
      <sz val="11"/>
      <color theme="0"/>
      <name val="Book Antiqua"/>
      <family val="1"/>
    </font>
    <font>
      <b/>
      <sz val="11"/>
      <color indexed="9"/>
      <name val="Book Antiqua"/>
      <family val="1"/>
    </font>
    <font>
      <sz val="11"/>
      <color indexed="9"/>
      <name val="Book Antiqua"/>
      <family val="1"/>
    </font>
  </fonts>
  <fills count="19">
    <fill>
      <patternFill patternType="none"/>
    </fill>
    <fill>
      <patternFill patternType="gray125"/>
    </fill>
    <fill>
      <patternFill patternType="solid">
        <fgColor rgb="FF00206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indexed="10"/>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indexed="19"/>
        <bgColor indexed="64"/>
      </patternFill>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rgb="FF538DD5"/>
        <bgColor indexed="64"/>
      </patternFill>
    </fill>
    <fill>
      <patternFill patternType="solid">
        <fgColor theme="9" tint="-0.499984740745262"/>
        <bgColor indexed="64"/>
      </patternFill>
    </fill>
    <fill>
      <patternFill patternType="solid">
        <fgColor theme="0"/>
        <bgColor indexed="64"/>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top style="thin">
        <color theme="0"/>
      </top>
      <bottom style="thin">
        <color theme="0"/>
      </bottom>
      <diagonal/>
    </border>
    <border>
      <left/>
      <right/>
      <top/>
      <bottom style="thin">
        <color theme="0"/>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theme="0"/>
      </left>
      <right/>
      <top/>
      <bottom style="medium">
        <color indexed="64"/>
      </bottom>
      <diagonal/>
    </border>
    <border>
      <left/>
      <right/>
      <top/>
      <bottom style="medium">
        <color indexed="64"/>
      </bottom>
      <diagonal/>
    </border>
    <border>
      <left/>
      <right style="thin">
        <color theme="0"/>
      </right>
      <top/>
      <bottom style="medium">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s>
  <cellStyleXfs count="12">
    <xf numFmtId="0" fontId="0" fillId="0" borderId="0"/>
    <xf numFmtId="0" fontId="2" fillId="0" borderId="0"/>
    <xf numFmtId="0" fontId="3" fillId="0" borderId="0"/>
    <xf numFmtId="0" fontId="4" fillId="0" borderId="0"/>
    <xf numFmtId="0" fontId="5" fillId="0" borderId="0"/>
    <xf numFmtId="0" fontId="3" fillId="0" borderId="0"/>
    <xf numFmtId="0" fontId="12" fillId="0" borderId="0"/>
    <xf numFmtId="0" fontId="1" fillId="0" borderId="0"/>
    <xf numFmtId="0" fontId="16" fillId="0" borderId="0"/>
    <xf numFmtId="0" fontId="4" fillId="0" borderId="0"/>
    <xf numFmtId="0" fontId="3" fillId="0" borderId="0"/>
    <xf numFmtId="0" fontId="3" fillId="0" borderId="0"/>
  </cellStyleXfs>
  <cellXfs count="200">
    <xf numFmtId="0" fontId="0" fillId="0" borderId="0" xfId="0"/>
    <xf numFmtId="0" fontId="8" fillId="4" borderId="1" xfId="0" applyFont="1" applyFill="1" applyBorder="1" applyAlignment="1" applyProtection="1">
      <alignment horizontal="left" vertical="center"/>
      <protection locked="0"/>
    </xf>
    <xf numFmtId="0" fontId="6" fillId="2" borderId="1" xfId="0" applyFont="1" applyFill="1" applyBorder="1" applyAlignment="1" applyProtection="1">
      <alignment horizontal="center" vertical="center" wrapText="1"/>
      <protection locked="0"/>
    </xf>
    <xf numFmtId="0" fontId="3" fillId="0" borderId="0" xfId="2"/>
    <xf numFmtId="0" fontId="10" fillId="4" borderId="1" xfId="2" applyFont="1" applyFill="1" applyBorder="1" applyAlignment="1" applyProtection="1">
      <alignment vertical="center"/>
      <protection locked="0"/>
    </xf>
    <xf numFmtId="0" fontId="13" fillId="2" borderId="4" xfId="7" applyFont="1" applyFill="1" applyBorder="1" applyAlignment="1">
      <alignment vertical="center" wrapText="1"/>
    </xf>
    <xf numFmtId="0" fontId="15" fillId="4" borderId="1" xfId="7" applyFont="1" applyFill="1" applyBorder="1" applyAlignment="1">
      <alignment horizontal="left" vertical="top" wrapText="1"/>
    </xf>
    <xf numFmtId="0" fontId="19" fillId="0" borderId="0" xfId="0" applyFont="1"/>
    <xf numFmtId="0" fontId="8" fillId="4" borderId="1" xfId="0" quotePrefix="1" applyFont="1" applyFill="1" applyBorder="1" applyAlignment="1" applyProtection="1">
      <alignment horizontal="left" vertical="center" wrapText="1"/>
      <protection locked="0"/>
    </xf>
    <xf numFmtId="0" fontId="3" fillId="0" borderId="0" xfId="8" applyFont="1" applyAlignment="1">
      <alignment horizontal="left" vertical="top" wrapText="1"/>
    </xf>
    <xf numFmtId="0" fontId="3" fillId="0" borderId="0" xfId="0" applyFont="1"/>
    <xf numFmtId="0" fontId="20" fillId="0" borderId="0" xfId="0" applyFont="1"/>
    <xf numFmtId="0" fontId="3" fillId="6" borderId="0" xfId="0" applyFont="1" applyFill="1"/>
    <xf numFmtId="0" fontId="8" fillId="4" borderId="1" xfId="0" applyFont="1" applyFill="1" applyBorder="1" applyAlignment="1">
      <alignment horizontal="left" vertical="center"/>
    </xf>
    <xf numFmtId="0" fontId="8" fillId="4" borderId="1" xfId="0" applyFont="1" applyFill="1" applyBorder="1" applyAlignment="1">
      <alignment horizontal="left" vertical="center" wrapText="1"/>
    </xf>
    <xf numFmtId="0" fontId="0" fillId="0" borderId="0" xfId="0" applyAlignment="1">
      <alignment wrapText="1"/>
    </xf>
    <xf numFmtId="0" fontId="4" fillId="0" borderId="0" xfId="3"/>
    <xf numFmtId="0" fontId="26" fillId="7" borderId="1" xfId="3" applyFont="1" applyFill="1" applyBorder="1" applyAlignment="1">
      <alignment horizontal="center" vertical="center" wrapText="1"/>
    </xf>
    <xf numFmtId="0" fontId="26" fillId="10" borderId="1" xfId="3" applyFont="1" applyFill="1" applyBorder="1" applyAlignment="1">
      <alignment horizontal="center" vertical="center" wrapText="1"/>
    </xf>
    <xf numFmtId="0" fontId="26" fillId="9" borderId="1" xfId="3" applyFont="1" applyFill="1" applyBorder="1" applyAlignment="1">
      <alignment horizontal="center" vertical="center" wrapText="1"/>
    </xf>
    <xf numFmtId="0" fontId="26" fillId="8" borderId="1" xfId="3" applyFont="1" applyFill="1" applyBorder="1" applyAlignment="1">
      <alignment horizontal="center" vertical="center" wrapText="1"/>
    </xf>
    <xf numFmtId="0" fontId="26" fillId="11" borderId="1" xfId="3" applyFont="1" applyFill="1" applyBorder="1" applyAlignment="1">
      <alignment horizontal="center" vertical="center" wrapText="1"/>
    </xf>
    <xf numFmtId="0" fontId="8" fillId="4" borderId="1" xfId="0" applyFont="1" applyFill="1" applyBorder="1" applyAlignment="1" applyProtection="1">
      <alignment horizontal="center" vertical="center" wrapText="1"/>
      <protection locked="0"/>
    </xf>
    <xf numFmtId="0" fontId="3" fillId="5" borderId="0" xfId="5" applyFill="1"/>
    <xf numFmtId="0" fontId="18" fillId="13" borderId="15" xfId="0" applyFont="1" applyFill="1" applyBorder="1" applyAlignment="1">
      <alignment horizontal="justify" vertical="top" wrapText="1"/>
    </xf>
    <xf numFmtId="0" fontId="17" fillId="15" borderId="12" xfId="0" applyFont="1" applyFill="1" applyBorder="1" applyAlignment="1">
      <alignment horizontal="justify" vertical="top" wrapText="1"/>
    </xf>
    <xf numFmtId="0" fontId="17" fillId="7" borderId="12" xfId="0" applyFont="1" applyFill="1" applyBorder="1" applyAlignment="1">
      <alignment horizontal="justify" vertical="top" wrapText="1"/>
    </xf>
    <xf numFmtId="0" fontId="17" fillId="8" borderId="12" xfId="0" applyFont="1" applyFill="1" applyBorder="1" applyAlignment="1">
      <alignment horizontal="justify" vertical="top" wrapText="1"/>
    </xf>
    <xf numFmtId="0" fontId="17" fillId="9" borderId="12" xfId="0" applyFont="1" applyFill="1" applyBorder="1" applyAlignment="1">
      <alignment horizontal="justify" vertical="top" wrapText="1"/>
    </xf>
    <xf numFmtId="0" fontId="17" fillId="10" borderId="12" xfId="0" applyFont="1" applyFill="1" applyBorder="1" applyAlignment="1">
      <alignment horizontal="justify" vertical="top" wrapText="1"/>
    </xf>
    <xf numFmtId="0" fontId="17" fillId="11" borderId="12" xfId="0" applyFont="1" applyFill="1" applyBorder="1" applyAlignment="1">
      <alignment horizontal="justify" vertical="top" wrapText="1"/>
    </xf>
    <xf numFmtId="0" fontId="15" fillId="4" borderId="12" xfId="7" applyFont="1" applyFill="1" applyBorder="1" applyAlignment="1">
      <alignment horizontal="center" vertical="top" wrapText="1"/>
    </xf>
    <xf numFmtId="0" fontId="15" fillId="4" borderId="12" xfId="7" applyFont="1" applyFill="1" applyBorder="1" applyAlignment="1">
      <alignment horizontal="left" vertical="top" wrapText="1"/>
    </xf>
    <xf numFmtId="0" fontId="15" fillId="7" borderId="12" xfId="7" applyFont="1" applyFill="1" applyBorder="1" applyAlignment="1">
      <alignment horizontal="center" vertical="top" wrapText="1"/>
    </xf>
    <xf numFmtId="0" fontId="15" fillId="8" borderId="12" xfId="7" applyFont="1" applyFill="1" applyBorder="1" applyAlignment="1">
      <alignment horizontal="center" vertical="top" wrapText="1"/>
    </xf>
    <xf numFmtId="0" fontId="15" fillId="9" borderId="12" xfId="7" applyFont="1" applyFill="1" applyBorder="1" applyAlignment="1">
      <alignment horizontal="center" vertical="top" wrapText="1"/>
    </xf>
    <xf numFmtId="0" fontId="15" fillId="10" borderId="12" xfId="7" applyFont="1" applyFill="1" applyBorder="1" applyAlignment="1">
      <alignment horizontal="center" vertical="top" wrapText="1"/>
    </xf>
    <xf numFmtId="0" fontId="15" fillId="11" borderId="12" xfId="7" applyFont="1" applyFill="1" applyBorder="1" applyAlignment="1">
      <alignment horizontal="center" vertical="top" wrapText="1"/>
    </xf>
    <xf numFmtId="0" fontId="15" fillId="4" borderId="4" xfId="7" applyFont="1" applyFill="1" applyBorder="1" applyAlignment="1">
      <alignment horizontal="center" vertical="center" wrapText="1"/>
    </xf>
    <xf numFmtId="0" fontId="15" fillId="4" borderId="5" xfId="7" applyFont="1" applyFill="1" applyBorder="1" applyAlignment="1">
      <alignment horizontal="center" vertical="center" wrapText="1"/>
    </xf>
    <xf numFmtId="0" fontId="15" fillId="4" borderId="4" xfId="7" applyFont="1" applyFill="1" applyBorder="1" applyAlignment="1">
      <alignment horizontal="center" vertical="top" wrapText="1"/>
    </xf>
    <xf numFmtId="0" fontId="6" fillId="2" borderId="1" xfId="2" applyFont="1" applyFill="1" applyBorder="1" applyAlignment="1" applyProtection="1">
      <alignment horizontal="center" vertical="center" wrapText="1"/>
      <protection locked="0"/>
    </xf>
    <xf numFmtId="0" fontId="32" fillId="4" borderId="1" xfId="0" quotePrefix="1" applyFont="1" applyFill="1" applyBorder="1" applyAlignment="1" applyProtection="1">
      <alignment horizontal="left" vertical="center" wrapText="1"/>
      <protection locked="0"/>
    </xf>
    <xf numFmtId="0" fontId="15" fillId="4" borderId="4" xfId="7" applyFont="1" applyFill="1" applyBorder="1" applyAlignment="1">
      <alignment vertical="top" wrapText="1"/>
    </xf>
    <xf numFmtId="0" fontId="15" fillId="4" borderId="1" xfId="7" applyFont="1" applyFill="1" applyBorder="1" applyAlignment="1">
      <alignment horizontal="center" vertical="center" wrapText="1"/>
    </xf>
    <xf numFmtId="0" fontId="15" fillId="4" borderId="4" xfId="7" quotePrefix="1" applyFont="1" applyFill="1" applyBorder="1" applyAlignment="1">
      <alignment horizontal="center" vertical="center" wrapText="1"/>
    </xf>
    <xf numFmtId="0" fontId="20" fillId="0" borderId="0" xfId="0" applyFont="1" applyAlignment="1">
      <alignment horizontal="center" vertical="center"/>
    </xf>
    <xf numFmtId="0" fontId="33" fillId="4" borderId="1" xfId="2" quotePrefix="1" applyFont="1" applyFill="1" applyBorder="1" applyAlignment="1" applyProtection="1">
      <alignment vertical="center" wrapText="1"/>
      <protection locked="0"/>
    </xf>
    <xf numFmtId="0" fontId="34" fillId="16" borderId="7" xfId="0" applyFont="1" applyFill="1" applyBorder="1" applyAlignment="1">
      <alignment horizontal="center"/>
    </xf>
    <xf numFmtId="0" fontId="6" fillId="2" borderId="1" xfId="2" applyFont="1" applyFill="1" applyBorder="1" applyAlignment="1" applyProtection="1">
      <alignment vertical="center" textRotation="45" wrapText="1"/>
      <protection locked="0"/>
    </xf>
    <xf numFmtId="0" fontId="6" fillId="2" borderId="1" xfId="2" applyFont="1" applyFill="1" applyBorder="1" applyAlignment="1" applyProtection="1">
      <alignment horizontal="center" vertical="center" textRotation="45" wrapText="1"/>
      <protection locked="0"/>
    </xf>
    <xf numFmtId="0" fontId="6" fillId="16" borderId="3" xfId="0" applyFont="1" applyFill="1" applyBorder="1" applyAlignment="1">
      <alignment horizontal="center" vertical="center"/>
    </xf>
    <xf numFmtId="0" fontId="6" fillId="2" borderId="1" xfId="2" applyFont="1" applyFill="1" applyBorder="1" applyAlignment="1" applyProtection="1">
      <alignment horizontal="left" vertical="top" wrapText="1"/>
      <protection locked="0"/>
    </xf>
    <xf numFmtId="0" fontId="23" fillId="4" borderId="1" xfId="2" quotePrefix="1" applyFont="1" applyFill="1" applyBorder="1" applyAlignment="1" applyProtection="1">
      <alignment vertical="center" wrapText="1"/>
      <protection locked="0"/>
    </xf>
    <xf numFmtId="0" fontId="0" fillId="0" borderId="0" xfId="0" applyAlignment="1">
      <alignment horizontal="center" vertical="center"/>
    </xf>
    <xf numFmtId="0" fontId="0" fillId="0" borderId="0" xfId="0" applyAlignment="1">
      <alignment horizontal="left" vertical="top"/>
    </xf>
    <xf numFmtId="0" fontId="33" fillId="4" borderId="1" xfId="2" quotePrefix="1" applyFont="1" applyFill="1" applyBorder="1" applyAlignment="1" applyProtection="1">
      <alignment horizontal="center" vertical="center"/>
      <protection locked="0"/>
    </xf>
    <xf numFmtId="0" fontId="13" fillId="2" borderId="4" xfId="7" applyFont="1" applyFill="1" applyBorder="1" applyAlignment="1">
      <alignment horizontal="center" vertical="center" wrapText="1"/>
    </xf>
    <xf numFmtId="0" fontId="21" fillId="4" borderId="1" xfId="7" applyFont="1" applyFill="1" applyBorder="1" applyAlignment="1">
      <alignment horizontal="left" vertical="top" wrapText="1"/>
    </xf>
    <xf numFmtId="0" fontId="6" fillId="2" borderId="1" xfId="0" applyFont="1" applyFill="1" applyBorder="1" applyAlignment="1" applyProtection="1">
      <alignment vertical="center" wrapText="1"/>
      <protection locked="0"/>
    </xf>
    <xf numFmtId="0" fontId="13" fillId="2" borderId="2" xfId="7" applyFont="1" applyFill="1" applyBorder="1" applyAlignment="1">
      <alignment horizontal="center" vertical="center" wrapText="1"/>
    </xf>
    <xf numFmtId="0" fontId="17" fillId="14" borderId="22" xfId="0" applyFont="1" applyFill="1" applyBorder="1" applyAlignment="1">
      <alignment horizontal="center" wrapText="1"/>
    </xf>
    <xf numFmtId="0" fontId="17" fillId="14" borderId="14" xfId="0" applyFont="1" applyFill="1" applyBorder="1" applyAlignment="1">
      <alignment horizontal="center" wrapText="1"/>
    </xf>
    <xf numFmtId="0" fontId="3" fillId="0" borderId="0" xfId="11" applyAlignment="1">
      <alignment horizontal="left" vertical="top" wrapText="1"/>
    </xf>
    <xf numFmtId="0" fontId="17" fillId="0" borderId="0" xfId="11" applyFont="1" applyAlignment="1">
      <alignment horizontal="left" vertical="top" wrapText="1"/>
    </xf>
    <xf numFmtId="0" fontId="17" fillId="0" borderId="0" xfId="11" applyFont="1" applyAlignment="1">
      <alignment horizontal="center" vertical="top" wrapText="1"/>
    </xf>
    <xf numFmtId="0" fontId="33" fillId="4" borderId="1" xfId="0" quotePrefix="1" applyFont="1" applyFill="1" applyBorder="1" applyAlignment="1" applyProtection="1">
      <alignment horizontal="left" vertical="top" wrapText="1"/>
      <protection locked="0"/>
    </xf>
    <xf numFmtId="0" fontId="33" fillId="4" borderId="1" xfId="0" applyFont="1" applyFill="1" applyBorder="1" applyAlignment="1" applyProtection="1">
      <alignment horizontal="left" vertical="top"/>
      <protection locked="0"/>
    </xf>
    <xf numFmtId="0" fontId="33" fillId="4" borderId="1" xfId="0" applyFont="1" applyFill="1" applyBorder="1" applyAlignment="1" applyProtection="1">
      <alignment horizontal="left" vertical="center"/>
      <protection locked="0"/>
    </xf>
    <xf numFmtId="0" fontId="33" fillId="4" borderId="1" xfId="0" applyFont="1" applyFill="1" applyBorder="1" applyAlignment="1">
      <alignment horizontal="center" vertical="center" wrapText="1"/>
    </xf>
    <xf numFmtId="0" fontId="33" fillId="4" borderId="1" xfId="0" quotePrefix="1" applyFont="1" applyFill="1" applyBorder="1" applyAlignment="1" applyProtection="1">
      <alignment horizontal="center" vertical="center" wrapText="1"/>
      <protection locked="0"/>
    </xf>
    <xf numFmtId="0" fontId="15" fillId="0" borderId="0" xfId="0" applyFont="1"/>
    <xf numFmtId="0" fontId="15" fillId="0" borderId="0" xfId="0" applyFont="1" applyAlignment="1">
      <alignment horizontal="center"/>
    </xf>
    <xf numFmtId="0" fontId="15" fillId="0" borderId="0" xfId="0" applyFont="1" applyAlignment="1">
      <alignment horizontal="center" vertical="center"/>
    </xf>
    <xf numFmtId="0" fontId="8" fillId="4" borderId="4" xfId="0" applyFont="1" applyFill="1" applyBorder="1" applyAlignment="1" applyProtection="1">
      <alignment horizontal="center" vertical="center"/>
      <protection locked="0"/>
    </xf>
    <xf numFmtId="0" fontId="8" fillId="4" borderId="2" xfId="0" applyFont="1" applyFill="1" applyBorder="1" applyAlignment="1" applyProtection="1">
      <alignment horizontal="center" vertical="center" wrapText="1"/>
      <protection locked="0"/>
    </xf>
    <xf numFmtId="0" fontId="3" fillId="0" borderId="6" xfId="5" applyBorder="1"/>
    <xf numFmtId="0" fontId="3" fillId="0" borderId="1" xfId="5" applyBorder="1"/>
    <xf numFmtId="0" fontId="3" fillId="0" borderId="4" xfId="5" applyBorder="1"/>
    <xf numFmtId="0" fontId="13" fillId="2" borderId="1" xfId="7" applyFont="1" applyFill="1" applyBorder="1" applyAlignment="1">
      <alignment horizontal="center" vertical="center" wrapText="1"/>
    </xf>
    <xf numFmtId="0" fontId="38" fillId="3" borderId="1" xfId="7" applyFont="1" applyFill="1" applyBorder="1" applyAlignment="1">
      <alignment horizontal="center"/>
    </xf>
    <xf numFmtId="0" fontId="14" fillId="4" borderId="1" xfId="7" applyFont="1" applyFill="1" applyBorder="1"/>
    <xf numFmtId="164" fontId="38" fillId="3" borderId="1" xfId="7" applyNumberFormat="1" applyFont="1" applyFill="1" applyBorder="1" applyAlignment="1">
      <alignment horizontal="center"/>
    </xf>
    <xf numFmtId="0" fontId="3" fillId="0" borderId="7" xfId="5" applyBorder="1"/>
    <xf numFmtId="0" fontId="3" fillId="0" borderId="8" xfId="5" applyBorder="1"/>
    <xf numFmtId="0" fontId="3" fillId="0" borderId="3" xfId="5" applyBorder="1"/>
    <xf numFmtId="0" fontId="3" fillId="0" borderId="2" xfId="5" applyBorder="1"/>
    <xf numFmtId="0" fontId="3" fillId="18" borderId="0" xfId="11" applyFill="1" applyAlignment="1">
      <alignment horizontal="left" vertical="top" wrapText="1"/>
    </xf>
    <xf numFmtId="0" fontId="3" fillId="18" borderId="0" xfId="0" applyFont="1" applyFill="1"/>
    <xf numFmtId="0" fontId="3" fillId="0" borderId="0" xfId="0" applyFont="1" applyAlignment="1">
      <alignment vertical="top"/>
    </xf>
    <xf numFmtId="0" fontId="0" fillId="0" borderId="0" xfId="0" applyAlignment="1">
      <alignment vertical="top"/>
    </xf>
    <xf numFmtId="0" fontId="38" fillId="3" borderId="1" xfId="7" applyFont="1" applyFill="1" applyBorder="1" applyAlignment="1">
      <alignment horizontal="left" vertical="center"/>
    </xf>
    <xf numFmtId="14" fontId="14" fillId="4" borderId="1" xfId="7" applyNumberFormat="1" applyFont="1" applyFill="1" applyBorder="1" applyAlignment="1">
      <alignment horizontal="left" vertical="center"/>
    </xf>
    <xf numFmtId="0" fontId="14" fillId="4" borderId="1" xfId="7" applyFont="1" applyFill="1" applyBorder="1" applyAlignment="1">
      <alignment horizontal="center"/>
    </xf>
    <xf numFmtId="0" fontId="38" fillId="17" borderId="1" xfId="7" applyFont="1" applyFill="1" applyBorder="1" applyAlignment="1">
      <alignment horizontal="left" vertical="center" wrapText="1"/>
    </xf>
    <xf numFmtId="0" fontId="38" fillId="17" borderId="1" xfId="7" applyFont="1" applyFill="1" applyBorder="1" applyAlignment="1">
      <alignment horizontal="left" vertical="center"/>
    </xf>
    <xf numFmtId="0" fontId="14" fillId="4" borderId="1" xfId="7" applyFont="1" applyFill="1" applyBorder="1" applyAlignment="1">
      <alignment horizontal="left"/>
    </xf>
    <xf numFmtId="0" fontId="13" fillId="2" borderId="1" xfId="7" applyFont="1" applyFill="1" applyBorder="1" applyAlignment="1">
      <alignment horizontal="center" vertical="center" wrapText="1"/>
    </xf>
    <xf numFmtId="0" fontId="17" fillId="14" borderId="22" xfId="0" applyFont="1" applyFill="1" applyBorder="1" applyAlignment="1">
      <alignment horizontal="center" wrapText="1"/>
    </xf>
    <xf numFmtId="0" fontId="17" fillId="14" borderId="14" xfId="0" applyFont="1" applyFill="1" applyBorder="1" applyAlignment="1">
      <alignment horizontal="center" wrapText="1"/>
    </xf>
    <xf numFmtId="0" fontId="17" fillId="13" borderId="18" xfId="0" applyFont="1" applyFill="1" applyBorder="1" applyAlignment="1">
      <alignment horizontal="center" vertical="top" wrapText="1"/>
    </xf>
    <xf numFmtId="0" fontId="17" fillId="13" borderId="19" xfId="0" applyFont="1" applyFill="1" applyBorder="1" applyAlignment="1">
      <alignment horizontal="center" vertical="top" wrapText="1"/>
    </xf>
    <xf numFmtId="0" fontId="17" fillId="13" borderId="20" xfId="0" applyFont="1" applyFill="1" applyBorder="1" applyAlignment="1">
      <alignment horizontal="center" vertical="top" wrapText="1"/>
    </xf>
    <xf numFmtId="0" fontId="18" fillId="14" borderId="21" xfId="0" applyFont="1" applyFill="1" applyBorder="1" applyAlignment="1">
      <alignment horizontal="center" wrapText="1"/>
    </xf>
    <xf numFmtId="0" fontId="18" fillId="14" borderId="14" xfId="0" applyFont="1" applyFill="1" applyBorder="1" applyAlignment="1">
      <alignment horizontal="center" wrapText="1"/>
    </xf>
    <xf numFmtId="0" fontId="17" fillId="13" borderId="16" xfId="0" applyFont="1" applyFill="1" applyBorder="1" applyAlignment="1">
      <alignment horizontal="center" vertical="top" wrapText="1"/>
    </xf>
    <xf numFmtId="0" fontId="17" fillId="13" borderId="13" xfId="0" applyFont="1" applyFill="1" applyBorder="1" applyAlignment="1">
      <alignment horizontal="center" vertical="top" wrapText="1"/>
    </xf>
    <xf numFmtId="0" fontId="17" fillId="13" borderId="17" xfId="0" applyFont="1" applyFill="1" applyBorder="1" applyAlignment="1">
      <alignment horizontal="center" vertical="top" wrapText="1"/>
    </xf>
    <xf numFmtId="0" fontId="14" fillId="4" borderId="30" xfId="7" applyFont="1" applyFill="1" applyBorder="1" applyAlignment="1">
      <alignment horizontal="center" vertical="top" wrapText="1"/>
    </xf>
    <xf numFmtId="0" fontId="14" fillId="4" borderId="31" xfId="7" applyFont="1" applyFill="1" applyBorder="1" applyAlignment="1">
      <alignment horizontal="center" vertical="top" wrapText="1"/>
    </xf>
    <xf numFmtId="0" fontId="14" fillId="4" borderId="32" xfId="7" applyFont="1" applyFill="1" applyBorder="1" applyAlignment="1">
      <alignment horizontal="center" vertical="top" wrapText="1"/>
    </xf>
    <xf numFmtId="0" fontId="28" fillId="12" borderId="14" xfId="0" applyFont="1" applyFill="1" applyBorder="1" applyAlignment="1">
      <alignment horizontal="center" vertical="center" wrapText="1"/>
    </xf>
    <xf numFmtId="0" fontId="28" fillId="12" borderId="23" xfId="0" applyFont="1" applyFill="1" applyBorder="1" applyAlignment="1">
      <alignment horizontal="center" vertical="center" wrapText="1"/>
    </xf>
    <xf numFmtId="0" fontId="18" fillId="15" borderId="24" xfId="0" applyFont="1" applyFill="1" applyBorder="1" applyAlignment="1">
      <alignment horizontal="left" vertical="center" wrapText="1"/>
    </xf>
    <xf numFmtId="0" fontId="17" fillId="15" borderId="25" xfId="0" applyFont="1" applyFill="1" applyBorder="1" applyAlignment="1">
      <alignment horizontal="left" vertical="center" wrapText="1"/>
    </xf>
    <xf numFmtId="0" fontId="17" fillId="15" borderId="26" xfId="0" applyFont="1" applyFill="1" applyBorder="1" applyAlignment="1">
      <alignment horizontal="left" vertical="center" wrapText="1"/>
    </xf>
    <xf numFmtId="0" fontId="15" fillId="4" borderId="27" xfId="7" applyFont="1" applyFill="1" applyBorder="1" applyAlignment="1">
      <alignment horizontal="center" vertical="top" wrapText="1"/>
    </xf>
    <xf numFmtId="0" fontId="15" fillId="4" borderId="28" xfId="7" applyFont="1" applyFill="1" applyBorder="1" applyAlignment="1">
      <alignment horizontal="center" vertical="top" wrapText="1"/>
    </xf>
    <xf numFmtId="0" fontId="15" fillId="4" borderId="29" xfId="7" applyFont="1" applyFill="1" applyBorder="1" applyAlignment="1">
      <alignment horizontal="center" vertical="top" wrapText="1"/>
    </xf>
    <xf numFmtId="0" fontId="13" fillId="2" borderId="11" xfId="7" applyFont="1" applyFill="1" applyBorder="1" applyAlignment="1">
      <alignment horizontal="left" vertical="center" wrapText="1"/>
    </xf>
    <xf numFmtId="0" fontId="13" fillId="2" borderId="0" xfId="7" applyFont="1" applyFill="1" applyAlignment="1">
      <alignment horizontal="left" vertical="center" wrapText="1"/>
    </xf>
    <xf numFmtId="0" fontId="13" fillId="2" borderId="8" xfId="7" applyFont="1" applyFill="1" applyBorder="1" applyAlignment="1">
      <alignment horizontal="left" vertical="center" wrapText="1"/>
    </xf>
    <xf numFmtId="0" fontId="13" fillId="2" borderId="10" xfId="7" applyFont="1" applyFill="1" applyBorder="1" applyAlignment="1">
      <alignment horizontal="left" vertical="center" wrapText="1"/>
    </xf>
    <xf numFmtId="0" fontId="15" fillId="4" borderId="2" xfId="7" applyFont="1" applyFill="1" applyBorder="1" applyAlignment="1">
      <alignment horizontal="left" vertical="center" wrapText="1"/>
    </xf>
    <xf numFmtId="0" fontId="15" fillId="4" borderId="9" xfId="7" applyFont="1" applyFill="1" applyBorder="1" applyAlignment="1">
      <alignment horizontal="left" vertical="center" wrapText="1"/>
    </xf>
    <xf numFmtId="0" fontId="15" fillId="4" borderId="3" xfId="7" applyFont="1" applyFill="1" applyBorder="1" applyAlignment="1">
      <alignment horizontal="left" vertical="center" wrapText="1"/>
    </xf>
    <xf numFmtId="0" fontId="13" fillId="2" borderId="8" xfId="7" applyFont="1" applyFill="1" applyBorder="1" applyAlignment="1">
      <alignment horizontal="center" vertical="top" wrapText="1"/>
    </xf>
    <xf numFmtId="0" fontId="13" fillId="2" borderId="10" xfId="7" applyFont="1" applyFill="1" applyBorder="1" applyAlignment="1">
      <alignment horizontal="center" vertical="top" wrapText="1"/>
    </xf>
    <xf numFmtId="0" fontId="13" fillId="2" borderId="7" xfId="7" applyFont="1" applyFill="1" applyBorder="1" applyAlignment="1">
      <alignment horizontal="center" vertical="top" wrapText="1"/>
    </xf>
    <xf numFmtId="0" fontId="22" fillId="4" borderId="11" xfId="7" applyFont="1" applyFill="1" applyBorder="1" applyAlignment="1">
      <alignment horizontal="center" vertical="center" wrapText="1"/>
    </xf>
    <xf numFmtId="0" fontId="22" fillId="4" borderId="0" xfId="7" applyFont="1" applyFill="1" applyAlignment="1">
      <alignment horizontal="center" vertical="center" wrapText="1"/>
    </xf>
    <xf numFmtId="0" fontId="22" fillId="4" borderId="8" xfId="7" applyFont="1" applyFill="1" applyBorder="1" applyAlignment="1">
      <alignment horizontal="center" vertical="center" wrapText="1"/>
    </xf>
    <xf numFmtId="0" fontId="22" fillId="4" borderId="10" xfId="7" applyFont="1" applyFill="1" applyBorder="1" applyAlignment="1">
      <alignment horizontal="center" vertical="center" wrapText="1"/>
    </xf>
    <xf numFmtId="0" fontId="13" fillId="2" borderId="4" xfId="7" applyFont="1" applyFill="1" applyBorder="1" applyAlignment="1">
      <alignment horizontal="center" vertical="center" wrapText="1"/>
    </xf>
    <xf numFmtId="0" fontId="13" fillId="2" borderId="6" xfId="7" applyFont="1" applyFill="1" applyBorder="1" applyAlignment="1">
      <alignment horizontal="center" vertical="center" wrapText="1"/>
    </xf>
    <xf numFmtId="0" fontId="13" fillId="2" borderId="2" xfId="7" applyFont="1" applyFill="1" applyBorder="1" applyAlignment="1">
      <alignment horizontal="center" vertical="center" wrapText="1"/>
    </xf>
    <xf numFmtId="0" fontId="13" fillId="2" borderId="9" xfId="7" applyFont="1" applyFill="1" applyBorder="1" applyAlignment="1">
      <alignment horizontal="center" vertical="center" wrapText="1"/>
    </xf>
    <xf numFmtId="0" fontId="13" fillId="2" borderId="3" xfId="7" applyFont="1" applyFill="1" applyBorder="1" applyAlignment="1">
      <alignment horizontal="center" vertical="center" wrapText="1"/>
    </xf>
    <xf numFmtId="0" fontId="13" fillId="2" borderId="2" xfId="7" applyFont="1" applyFill="1" applyBorder="1" applyAlignment="1">
      <alignment horizontal="center" vertical="top" wrapText="1"/>
    </xf>
    <xf numFmtId="0" fontId="13" fillId="2" borderId="9" xfId="7" applyFont="1" applyFill="1" applyBorder="1" applyAlignment="1">
      <alignment horizontal="center" vertical="top" wrapText="1"/>
    </xf>
    <xf numFmtId="0" fontId="13" fillId="2" borderId="3" xfId="7" applyFont="1" applyFill="1" applyBorder="1" applyAlignment="1">
      <alignment horizontal="center" vertical="top" wrapText="1"/>
    </xf>
    <xf numFmtId="0" fontId="15" fillId="4" borderId="2" xfId="7" applyFont="1" applyFill="1" applyBorder="1" applyAlignment="1">
      <alignment horizontal="left" vertical="top" wrapText="1"/>
    </xf>
    <xf numFmtId="0" fontId="15" fillId="4" borderId="9" xfId="7" applyFont="1" applyFill="1" applyBorder="1" applyAlignment="1">
      <alignment horizontal="left" vertical="top" wrapText="1"/>
    </xf>
    <xf numFmtId="0" fontId="15" fillId="4" borderId="3" xfId="7" applyFont="1" applyFill="1" applyBorder="1" applyAlignment="1">
      <alignment horizontal="left" vertical="top" wrapText="1"/>
    </xf>
    <xf numFmtId="0" fontId="21" fillId="4" borderId="2" xfId="7" applyFont="1" applyFill="1" applyBorder="1" applyAlignment="1">
      <alignment horizontal="left" vertical="top" wrapText="1"/>
    </xf>
    <xf numFmtId="0" fontId="13" fillId="2" borderId="2" xfId="7" applyFont="1" applyFill="1" applyBorder="1" applyAlignment="1">
      <alignment horizontal="left" vertical="center" wrapText="1"/>
    </xf>
    <xf numFmtId="0" fontId="13" fillId="2" borderId="9" xfId="7" applyFont="1" applyFill="1" applyBorder="1" applyAlignment="1">
      <alignment horizontal="left" vertical="center" wrapText="1"/>
    </xf>
    <xf numFmtId="0" fontId="13" fillId="2" borderId="3" xfId="7" applyFont="1" applyFill="1" applyBorder="1" applyAlignment="1">
      <alignment horizontal="left" vertical="center" wrapText="1"/>
    </xf>
    <xf numFmtId="0" fontId="21" fillId="4" borderId="31" xfId="7" applyFont="1" applyFill="1" applyBorder="1" applyAlignment="1">
      <alignment horizontal="left" vertical="top" wrapText="1"/>
    </xf>
    <xf numFmtId="0" fontId="21" fillId="4" borderId="0" xfId="7" applyFont="1" applyFill="1" applyAlignment="1">
      <alignment horizontal="left" vertical="top" wrapText="1"/>
    </xf>
    <xf numFmtId="0" fontId="8" fillId="4" borderId="2" xfId="0" applyFont="1" applyFill="1" applyBorder="1" applyAlignment="1" applyProtection="1">
      <alignment horizontal="center" vertical="center" wrapText="1"/>
      <protection locked="0"/>
    </xf>
    <xf numFmtId="0" fontId="8" fillId="4" borderId="3" xfId="0" applyFont="1" applyFill="1" applyBorder="1" applyAlignment="1" applyProtection="1">
      <alignment horizontal="center" vertical="center" wrapText="1"/>
      <protection locked="0"/>
    </xf>
    <xf numFmtId="0" fontId="6" fillId="2" borderId="1"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6" fillId="2" borderId="6" xfId="0" applyFont="1" applyFill="1" applyBorder="1" applyAlignment="1" applyProtection="1">
      <alignment horizontal="center" vertical="center" wrapText="1"/>
      <protection locked="0"/>
    </xf>
    <xf numFmtId="0" fontId="33" fillId="4" borderId="4" xfId="0" applyFont="1" applyFill="1" applyBorder="1" applyAlignment="1" applyProtection="1">
      <alignment horizontal="center" vertical="center"/>
      <protection locked="0"/>
    </xf>
    <xf numFmtId="0" fontId="33" fillId="4" borderId="5" xfId="0" applyFont="1" applyFill="1" applyBorder="1" applyAlignment="1" applyProtection="1">
      <alignment horizontal="center" vertical="center"/>
      <protection locked="0"/>
    </xf>
    <xf numFmtId="0" fontId="33" fillId="4" borderId="6" xfId="0" applyFont="1" applyFill="1" applyBorder="1" applyAlignment="1" applyProtection="1">
      <alignment horizontal="center" vertical="center"/>
      <protection locked="0"/>
    </xf>
    <xf numFmtId="0" fontId="33" fillId="4" borderId="4" xfId="0" applyFont="1" applyFill="1" applyBorder="1" applyAlignment="1">
      <alignment horizontal="center" vertical="center"/>
    </xf>
    <xf numFmtId="0" fontId="33" fillId="4" borderId="5" xfId="0" applyFont="1" applyFill="1" applyBorder="1" applyAlignment="1">
      <alignment horizontal="center" vertical="center"/>
    </xf>
    <xf numFmtId="0" fontId="33" fillId="4" borderId="6" xfId="0" applyFont="1" applyFill="1" applyBorder="1" applyAlignment="1">
      <alignment horizontal="center" vertical="center"/>
    </xf>
    <xf numFmtId="0" fontId="33" fillId="4" borderId="4" xfId="0" quotePrefix="1" applyFont="1" applyFill="1" applyBorder="1" applyAlignment="1" applyProtection="1">
      <alignment horizontal="center" vertical="center" wrapText="1"/>
      <protection locked="0"/>
    </xf>
    <xf numFmtId="0" fontId="33" fillId="4" borderId="5" xfId="0" quotePrefix="1" applyFont="1" applyFill="1" applyBorder="1" applyAlignment="1" applyProtection="1">
      <alignment horizontal="center" vertical="center" wrapText="1"/>
      <protection locked="0"/>
    </xf>
    <xf numFmtId="0" fontId="33" fillId="4" borderId="6" xfId="0" quotePrefix="1" applyFont="1" applyFill="1" applyBorder="1" applyAlignment="1" applyProtection="1">
      <alignment horizontal="center" vertical="center" wrapText="1"/>
      <protection locked="0"/>
    </xf>
    <xf numFmtId="0" fontId="33" fillId="4" borderId="1" xfId="0" applyFont="1" applyFill="1" applyBorder="1" applyAlignment="1">
      <alignment horizontal="center" vertical="center" wrapText="1"/>
    </xf>
    <xf numFmtId="0" fontId="33" fillId="4" borderId="1" xfId="0" applyFont="1" applyFill="1" applyBorder="1" applyAlignment="1" applyProtection="1">
      <alignment horizontal="center" vertical="center"/>
      <protection locked="0"/>
    </xf>
    <xf numFmtId="0" fontId="33" fillId="4" borderId="1" xfId="0" applyFont="1" applyFill="1" applyBorder="1" applyAlignment="1">
      <alignment horizontal="center" vertical="center"/>
    </xf>
    <xf numFmtId="0" fontId="7" fillId="3" borderId="4" xfId="0" applyFont="1" applyFill="1" applyBorder="1" applyAlignment="1" applyProtection="1">
      <alignment horizontal="center" vertical="top"/>
      <protection locked="0"/>
    </xf>
    <xf numFmtId="0" fontId="7" fillId="3" borderId="5" xfId="0" applyFont="1" applyFill="1" applyBorder="1" applyAlignment="1" applyProtection="1">
      <alignment horizontal="center" vertical="top"/>
      <protection locked="0"/>
    </xf>
    <xf numFmtId="0" fontId="8" fillId="4" borderId="4"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6" xfId="0" applyFont="1" applyFill="1" applyBorder="1" applyAlignment="1">
      <alignment horizontal="left" vertical="top" wrapText="1"/>
    </xf>
    <xf numFmtId="0" fontId="8" fillId="4" borderId="4"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4"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33" fillId="4" borderId="1" xfId="0" applyFont="1" applyFill="1" applyBorder="1" applyAlignment="1">
      <alignment horizontal="center" vertical="top"/>
    </xf>
    <xf numFmtId="0" fontId="33" fillId="4" borderId="4" xfId="0" quotePrefix="1" applyFont="1" applyFill="1" applyBorder="1" applyAlignment="1">
      <alignment horizontal="center" vertical="center" wrapText="1"/>
    </xf>
    <xf numFmtId="0" fontId="33" fillId="4" borderId="5" xfId="0" quotePrefix="1" applyFont="1" applyFill="1" applyBorder="1" applyAlignment="1">
      <alignment horizontal="center" vertical="center" wrapText="1"/>
    </xf>
    <xf numFmtId="0" fontId="33" fillId="4" borderId="6" xfId="0" quotePrefix="1" applyFont="1" applyFill="1" applyBorder="1" applyAlignment="1">
      <alignment horizontal="center" vertical="center" wrapText="1"/>
    </xf>
    <xf numFmtId="0" fontId="8" fillId="4" borderId="6" xfId="0" applyFont="1" applyFill="1" applyBorder="1" applyAlignment="1" applyProtection="1">
      <alignment horizontal="center" vertical="center"/>
      <protection locked="0"/>
    </xf>
    <xf numFmtId="0" fontId="33" fillId="4" borderId="4" xfId="0" applyFont="1" applyFill="1" applyBorder="1" applyAlignment="1">
      <alignment horizontal="center" vertical="top"/>
    </xf>
    <xf numFmtId="0" fontId="33" fillId="4" borderId="5" xfId="0" applyFont="1" applyFill="1" applyBorder="1" applyAlignment="1">
      <alignment horizontal="center" vertical="top"/>
    </xf>
    <xf numFmtId="0" fontId="33" fillId="4" borderId="6" xfId="0" applyFont="1" applyFill="1" applyBorder="1" applyAlignment="1">
      <alignment horizontal="center" vertical="top"/>
    </xf>
    <xf numFmtId="0" fontId="33" fillId="4" borderId="4" xfId="0" applyFont="1" applyFill="1" applyBorder="1" applyAlignment="1">
      <alignment horizontal="center" vertical="center" wrapText="1"/>
    </xf>
    <xf numFmtId="0" fontId="33" fillId="4" borderId="5" xfId="0" applyFont="1" applyFill="1" applyBorder="1" applyAlignment="1">
      <alignment horizontal="center" vertical="center" wrapText="1"/>
    </xf>
    <xf numFmtId="0" fontId="33" fillId="4" borderId="6" xfId="0" applyFont="1" applyFill="1" applyBorder="1" applyAlignment="1">
      <alignment horizontal="center" vertical="center" wrapText="1"/>
    </xf>
    <xf numFmtId="0" fontId="6" fillId="2" borderId="1" xfId="2" applyFont="1" applyFill="1" applyBorder="1" applyAlignment="1" applyProtection="1">
      <alignment horizontal="center" vertical="center" wrapText="1"/>
      <protection locked="0"/>
    </xf>
    <xf numFmtId="0" fontId="6" fillId="2" borderId="2" xfId="2" applyFont="1" applyFill="1" applyBorder="1" applyAlignment="1" applyProtection="1">
      <alignment horizontal="center" vertical="center" wrapText="1"/>
      <protection locked="0"/>
    </xf>
    <xf numFmtId="0" fontId="6" fillId="2" borderId="3" xfId="2" applyFont="1" applyFill="1" applyBorder="1" applyAlignment="1" applyProtection="1">
      <alignment horizontal="center" vertical="center" wrapText="1"/>
      <protection locked="0"/>
    </xf>
    <xf numFmtId="0" fontId="10" fillId="4" borderId="4" xfId="2" applyFont="1" applyFill="1" applyBorder="1" applyAlignment="1" applyProtection="1">
      <alignment horizontal="center" vertical="center"/>
      <protection locked="0"/>
    </xf>
    <xf numFmtId="0" fontId="10" fillId="4" borderId="5" xfId="2" applyFont="1" applyFill="1" applyBorder="1" applyAlignment="1" applyProtection="1">
      <alignment horizontal="center" vertical="center"/>
      <protection locked="0"/>
    </xf>
    <xf numFmtId="0" fontId="10" fillId="4" borderId="6" xfId="2" applyFont="1" applyFill="1" applyBorder="1" applyAlignment="1" applyProtection="1">
      <alignment horizontal="center" vertical="center"/>
      <protection locked="0"/>
    </xf>
    <xf numFmtId="0" fontId="10" fillId="3" borderId="4" xfId="2" applyFont="1" applyFill="1" applyBorder="1" applyAlignment="1" applyProtection="1">
      <alignment horizontal="center" vertical="center"/>
      <protection locked="0"/>
    </xf>
    <xf numFmtId="0" fontId="10" fillId="3" borderId="5" xfId="2" applyFont="1" applyFill="1" applyBorder="1" applyAlignment="1" applyProtection="1">
      <alignment horizontal="center" vertical="center"/>
      <protection locked="0"/>
    </xf>
    <xf numFmtId="0" fontId="10" fillId="3" borderId="6" xfId="2" applyFont="1" applyFill="1" applyBorder="1" applyAlignment="1" applyProtection="1">
      <alignment horizontal="center" vertical="center"/>
      <protection locked="0"/>
    </xf>
    <xf numFmtId="0" fontId="40" fillId="17" borderId="1" xfId="7" applyFont="1" applyFill="1" applyBorder="1" applyAlignment="1">
      <alignment horizontal="left" vertical="center" wrapText="1"/>
    </xf>
  </cellXfs>
  <cellStyles count="12">
    <cellStyle name="Normal" xfId="0" builtinId="0"/>
    <cellStyle name="Normal 10 2" xfId="2" xr:uid="{00000000-0005-0000-0000-000001000000}"/>
    <cellStyle name="Normal 16 3 2" xfId="3" xr:uid="{00000000-0005-0000-0000-000002000000}"/>
    <cellStyle name="Normal 19" xfId="9" xr:uid="{00000000-0005-0000-0000-000003000000}"/>
    <cellStyle name="Normal 2" xfId="6" xr:uid="{00000000-0005-0000-0000-000004000000}"/>
    <cellStyle name="Normal 2 2 6" xfId="1" xr:uid="{00000000-0005-0000-0000-000005000000}"/>
    <cellStyle name="Normal 2 3 2 2" xfId="5" xr:uid="{00000000-0005-0000-0000-000006000000}"/>
    <cellStyle name="Normal 3" xfId="7" xr:uid="{00000000-0005-0000-0000-000007000000}"/>
    <cellStyle name="Normal_Finance IAR" xfId="8" xr:uid="{00000000-0005-0000-0000-000008000000}"/>
    <cellStyle name="Normal_Finance IAR 2" xfId="11" xr:uid="{00000000-0005-0000-0000-000009000000}"/>
    <cellStyle name="Style 1" xfId="10" xr:uid="{00000000-0005-0000-0000-00000A000000}"/>
    <cellStyle name="TableStyleLight1" xfId="4" xr:uid="{00000000-0005-0000-0000-00000B000000}"/>
  </cellStyles>
  <dxfs count="121">
    <dxf>
      <fill>
        <patternFill>
          <bgColor indexed="34"/>
        </patternFill>
      </fill>
    </dxf>
    <dxf>
      <fill>
        <patternFill>
          <bgColor indexed="57"/>
        </patternFill>
      </fill>
    </dxf>
    <dxf>
      <fill>
        <patternFill>
          <bgColor indexed="52"/>
        </patternFill>
      </fill>
    </dxf>
    <dxf>
      <fill>
        <patternFill>
          <bgColor indexed="57"/>
        </patternFill>
      </fill>
    </dxf>
    <dxf>
      <fill>
        <patternFill>
          <bgColor indexed="34"/>
        </patternFill>
      </fill>
    </dxf>
    <dxf>
      <fill>
        <patternFill>
          <bgColor indexed="52"/>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C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50"/>
        </patternFill>
      </fill>
    </dxf>
    <dxf>
      <fill>
        <patternFill>
          <bgColor rgb="FFFFC000"/>
        </patternFill>
      </fill>
    </dxf>
    <dxf>
      <fill>
        <patternFill>
          <bgColor rgb="FF92D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92D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indexed="52"/>
        </patternFill>
      </fill>
    </dxf>
    <dxf>
      <fill>
        <patternFill>
          <bgColor indexed="34"/>
        </patternFill>
      </fill>
    </dxf>
    <dxf>
      <fill>
        <patternFill>
          <bgColor indexed="57"/>
        </patternFill>
      </fill>
    </dxf>
    <dxf>
      <fill>
        <patternFill>
          <bgColor indexed="52"/>
        </patternFill>
      </fill>
    </dxf>
    <dxf>
      <fill>
        <patternFill>
          <bgColor indexed="34"/>
        </patternFill>
      </fill>
    </dxf>
    <dxf>
      <fill>
        <patternFill>
          <bgColor indexed="57"/>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ED7D31"/>
        </patternFill>
      </fill>
    </dxf>
    <dxf>
      <fill>
        <patternFill>
          <bgColor rgb="FF00B050"/>
        </patternFill>
      </fill>
    </dxf>
    <dxf>
      <fill>
        <patternFill>
          <bgColor rgb="FFFFC000"/>
        </patternFill>
      </fill>
    </dxf>
    <dxf>
      <fill>
        <patternFill>
          <fgColor indexed="17"/>
        </patternFill>
      </fill>
    </dxf>
    <dxf>
      <fill>
        <patternFill>
          <bgColor rgb="FFFFFF00"/>
        </patternFill>
      </fill>
    </dxf>
    <dxf>
      <fill>
        <patternFill>
          <bgColor rgb="FFFFC000"/>
        </patternFill>
      </fill>
    </dxf>
    <dxf>
      <fill>
        <patternFill>
          <fgColor indexed="17"/>
        </patternFill>
      </fill>
    </dxf>
  </dxfs>
  <tableStyles count="0" defaultTableStyle="TableStyleMedium2" defaultPivotStyle="PivotStyleLight16"/>
  <colors>
    <mruColors>
      <color rgb="FFED7D31"/>
      <color rgb="FFDF7603"/>
      <color rgb="FFE1C200"/>
      <color rgb="FFF09720"/>
      <color rgb="FFE088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933450</xdr:colOff>
      <xdr:row>2</xdr:row>
      <xdr:rowOff>361950</xdr:rowOff>
    </xdr:from>
    <xdr:to>
      <xdr:col>2</xdr:col>
      <xdr:colOff>1162050</xdr:colOff>
      <xdr:row>2</xdr:row>
      <xdr:rowOff>609600</xdr:rowOff>
    </xdr:to>
    <xdr:sp macro="" textlink="">
      <xdr:nvSpPr>
        <xdr:cNvPr id="2" name="AutoShape 7">
          <a:extLst>
            <a:ext uri="{FF2B5EF4-FFF2-40B4-BE49-F238E27FC236}">
              <a16:creationId xmlns:a16="http://schemas.microsoft.com/office/drawing/2014/main" id="{00000000-0008-0000-0100-000002000000}"/>
            </a:ext>
          </a:extLst>
        </xdr:cNvPr>
        <xdr:cNvSpPr>
          <a:spLocks noChangeArrowheads="1"/>
        </xdr:cNvSpPr>
      </xdr:nvSpPr>
      <xdr:spPr bwMode="auto">
        <a:xfrm>
          <a:off x="5343525"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323850</xdr:colOff>
      <xdr:row>2</xdr:row>
      <xdr:rowOff>161925</xdr:rowOff>
    </xdr:from>
    <xdr:to>
      <xdr:col>0</xdr:col>
      <xdr:colOff>1685925</xdr:colOff>
      <xdr:row>2</xdr:row>
      <xdr:rowOff>828675</xdr:rowOff>
    </xdr:to>
    <xdr:sp macro="" textlink="">
      <xdr:nvSpPr>
        <xdr:cNvPr id="3" name="AutoShape 8">
          <a:extLst>
            <a:ext uri="{FF2B5EF4-FFF2-40B4-BE49-F238E27FC236}">
              <a16:creationId xmlns:a16="http://schemas.microsoft.com/office/drawing/2014/main" id="{00000000-0008-0000-0100-000003000000}"/>
            </a:ext>
          </a:extLst>
        </xdr:cNvPr>
        <xdr:cNvSpPr>
          <a:spLocks noChangeArrowheads="1"/>
        </xdr:cNvSpPr>
      </xdr:nvSpPr>
      <xdr:spPr bwMode="auto">
        <a:xfrm>
          <a:off x="323850" y="1171575"/>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IN" sz="1000" b="1" i="0" u="none" strike="noStrike" baseline="0">
            <a:solidFill>
              <a:srgbClr val="000000"/>
            </a:solidFill>
            <a:latin typeface="Arial"/>
            <a:cs typeface="Arial"/>
          </a:endParaRPr>
        </a:p>
        <a:p>
          <a:pPr algn="ctr" rtl="0">
            <a:defRPr sz="1000"/>
          </a:pPr>
          <a:r>
            <a:rPr lang="en-IN" sz="1000" b="1" i="0" u="none" strike="noStrike" baseline="0">
              <a:solidFill>
                <a:srgbClr val="000000"/>
              </a:solidFill>
              <a:latin typeface="Arial"/>
              <a:cs typeface="Arial"/>
            </a:rPr>
            <a:t>Identify Assets </a:t>
          </a:r>
        </a:p>
      </xdr:txBody>
    </xdr:sp>
    <xdr:clientData/>
  </xdr:twoCellAnchor>
  <xdr:twoCellAnchor>
    <xdr:from>
      <xdr:col>1</xdr:col>
      <xdr:colOff>76200</xdr:colOff>
      <xdr:row>2</xdr:row>
      <xdr:rowOff>152400</xdr:rowOff>
    </xdr:from>
    <xdr:to>
      <xdr:col>1</xdr:col>
      <xdr:colOff>1438275</xdr:colOff>
      <xdr:row>2</xdr:row>
      <xdr:rowOff>819150</xdr:rowOff>
    </xdr:to>
    <xdr:sp macro="" textlink="">
      <xdr:nvSpPr>
        <xdr:cNvPr id="4" name="AutoShape 9">
          <a:extLst>
            <a:ext uri="{FF2B5EF4-FFF2-40B4-BE49-F238E27FC236}">
              <a16:creationId xmlns:a16="http://schemas.microsoft.com/office/drawing/2014/main" id="{00000000-0008-0000-0100-000004000000}"/>
            </a:ext>
          </a:extLst>
        </xdr:cNvPr>
        <xdr:cNvSpPr>
          <a:spLocks noChangeArrowheads="1"/>
        </xdr:cNvSpPr>
      </xdr:nvSpPr>
      <xdr:spPr bwMode="auto">
        <a:xfrm>
          <a:off x="2133600" y="116205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  Capture Asset Information </a:t>
          </a:r>
        </a:p>
      </xdr:txBody>
    </xdr:sp>
    <xdr:clientData/>
  </xdr:twoCellAnchor>
  <xdr:twoCellAnchor>
    <xdr:from>
      <xdr:col>1</xdr:col>
      <xdr:colOff>1838325</xdr:colOff>
      <xdr:row>2</xdr:row>
      <xdr:rowOff>142875</xdr:rowOff>
    </xdr:from>
    <xdr:to>
      <xdr:col>2</xdr:col>
      <xdr:colOff>857250</xdr:colOff>
      <xdr:row>2</xdr:row>
      <xdr:rowOff>828675</xdr:rowOff>
    </xdr:to>
    <xdr:sp macro="" textlink="">
      <xdr:nvSpPr>
        <xdr:cNvPr id="5" name="AutoShape 11">
          <a:extLst>
            <a:ext uri="{FF2B5EF4-FFF2-40B4-BE49-F238E27FC236}">
              <a16:creationId xmlns:a16="http://schemas.microsoft.com/office/drawing/2014/main" id="{00000000-0008-0000-0100-000005000000}"/>
            </a:ext>
          </a:extLst>
        </xdr:cNvPr>
        <xdr:cNvSpPr>
          <a:spLocks noChangeArrowheads="1"/>
        </xdr:cNvSpPr>
      </xdr:nvSpPr>
      <xdr:spPr bwMode="auto">
        <a:xfrm>
          <a:off x="3895725" y="1152525"/>
          <a:ext cx="1371600" cy="68580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Determine Asset Business Value</a:t>
          </a:r>
        </a:p>
      </xdr:txBody>
    </xdr:sp>
    <xdr:clientData/>
  </xdr:twoCellAnchor>
  <xdr:twoCellAnchor>
    <xdr:from>
      <xdr:col>0</xdr:col>
      <xdr:colOff>1790700</xdr:colOff>
      <xdr:row>2</xdr:row>
      <xdr:rowOff>333375</xdr:rowOff>
    </xdr:from>
    <xdr:to>
      <xdr:col>1</xdr:col>
      <xdr:colOff>9525</xdr:colOff>
      <xdr:row>2</xdr:row>
      <xdr:rowOff>581025</xdr:rowOff>
    </xdr:to>
    <xdr:sp macro="" textlink="">
      <xdr:nvSpPr>
        <xdr:cNvPr id="6" name="AutoShape 12">
          <a:extLst>
            <a:ext uri="{FF2B5EF4-FFF2-40B4-BE49-F238E27FC236}">
              <a16:creationId xmlns:a16="http://schemas.microsoft.com/office/drawing/2014/main" id="{00000000-0008-0000-0100-000006000000}"/>
            </a:ext>
          </a:extLst>
        </xdr:cNvPr>
        <xdr:cNvSpPr>
          <a:spLocks noChangeArrowheads="1"/>
        </xdr:cNvSpPr>
      </xdr:nvSpPr>
      <xdr:spPr bwMode="auto">
        <a:xfrm>
          <a:off x="1790700" y="1343025"/>
          <a:ext cx="276225"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1504950</xdr:colOff>
      <xdr:row>2</xdr:row>
      <xdr:rowOff>361950</xdr:rowOff>
    </xdr:from>
    <xdr:to>
      <xdr:col>1</xdr:col>
      <xdr:colOff>1733550</xdr:colOff>
      <xdr:row>2</xdr:row>
      <xdr:rowOff>609600</xdr:rowOff>
    </xdr:to>
    <xdr:sp macro="" textlink="">
      <xdr:nvSpPr>
        <xdr:cNvPr id="7" name="AutoShape 13">
          <a:extLst>
            <a:ext uri="{FF2B5EF4-FFF2-40B4-BE49-F238E27FC236}">
              <a16:creationId xmlns:a16="http://schemas.microsoft.com/office/drawing/2014/main" id="{00000000-0008-0000-0100-000007000000}"/>
            </a:ext>
          </a:extLst>
        </xdr:cNvPr>
        <xdr:cNvSpPr>
          <a:spLocks noChangeArrowheads="1"/>
        </xdr:cNvSpPr>
      </xdr:nvSpPr>
      <xdr:spPr bwMode="auto">
        <a:xfrm>
          <a:off x="3562350"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1362075</xdr:colOff>
      <xdr:row>2</xdr:row>
      <xdr:rowOff>133350</xdr:rowOff>
    </xdr:from>
    <xdr:to>
      <xdr:col>2</xdr:col>
      <xdr:colOff>2724150</xdr:colOff>
      <xdr:row>2</xdr:row>
      <xdr:rowOff>800100</xdr:rowOff>
    </xdr:to>
    <xdr:sp macro="" textlink="">
      <xdr:nvSpPr>
        <xdr:cNvPr id="8" name="AutoShape 10">
          <a:extLst>
            <a:ext uri="{FF2B5EF4-FFF2-40B4-BE49-F238E27FC236}">
              <a16:creationId xmlns:a16="http://schemas.microsoft.com/office/drawing/2014/main" id="{00000000-0008-0000-0100-000008000000}"/>
            </a:ext>
          </a:extLst>
        </xdr:cNvPr>
        <xdr:cNvSpPr>
          <a:spLocks noChangeArrowheads="1"/>
        </xdr:cNvSpPr>
      </xdr:nvSpPr>
      <xdr:spPr bwMode="auto">
        <a:xfrm>
          <a:off x="5772150" y="114300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lnSpc>
              <a:spcPts val="900"/>
            </a:lnSpc>
            <a:defRPr sz="1000"/>
          </a:pPr>
          <a:endParaRPr lang="en-IN" sz="1000" b="1" i="0" u="none" strike="noStrike" baseline="0">
            <a:solidFill>
              <a:srgbClr val="000000"/>
            </a:solidFill>
            <a:latin typeface="Arial"/>
            <a:ea typeface="+mn-ea"/>
            <a:cs typeface="Arial"/>
          </a:endParaRPr>
        </a:p>
        <a:p>
          <a:pPr marL="0" indent="0" algn="ctr" rtl="0">
            <a:lnSpc>
              <a:spcPts val="900"/>
            </a:lnSpc>
            <a:defRPr sz="1000"/>
          </a:pPr>
          <a:r>
            <a:rPr lang="en-IN" sz="1000" b="1" i="0" u="none" strike="noStrike" baseline="0">
              <a:solidFill>
                <a:srgbClr val="000000"/>
              </a:solidFill>
              <a:latin typeface="Arial"/>
              <a:ea typeface="+mn-ea"/>
              <a:cs typeface="Arial"/>
            </a:rPr>
            <a:t>Determine Asset </a:t>
          </a:r>
        </a:p>
        <a:p>
          <a:pPr marL="0" indent="0" algn="ctr" rtl="0">
            <a:lnSpc>
              <a:spcPts val="900"/>
            </a:lnSpc>
            <a:defRPr sz="1000"/>
          </a:pPr>
          <a:r>
            <a:rPr lang="en-IN" sz="1000" b="1" i="0" u="none" strike="noStrike" baseline="0">
              <a:solidFill>
                <a:srgbClr val="000000"/>
              </a:solidFill>
              <a:latin typeface="Arial"/>
              <a:ea typeface="+mn-ea"/>
              <a:cs typeface="Arial"/>
            </a:rPr>
            <a:t> Classification</a:t>
          </a:r>
        </a:p>
      </xdr:txBody>
    </xdr:sp>
    <xdr:clientData/>
  </xdr:twoCellAnchor>
  <xdr:twoCellAnchor>
    <xdr:from>
      <xdr:col>2</xdr:col>
      <xdr:colOff>933450</xdr:colOff>
      <xdr:row>2</xdr:row>
      <xdr:rowOff>361950</xdr:rowOff>
    </xdr:from>
    <xdr:to>
      <xdr:col>2</xdr:col>
      <xdr:colOff>1162050</xdr:colOff>
      <xdr:row>2</xdr:row>
      <xdr:rowOff>609600</xdr:rowOff>
    </xdr:to>
    <xdr:sp macro="" textlink="">
      <xdr:nvSpPr>
        <xdr:cNvPr id="9" name="AutoShape 7">
          <a:extLst>
            <a:ext uri="{FF2B5EF4-FFF2-40B4-BE49-F238E27FC236}">
              <a16:creationId xmlns:a16="http://schemas.microsoft.com/office/drawing/2014/main" id="{00000000-0008-0000-0100-000009000000}"/>
            </a:ext>
          </a:extLst>
        </xdr:cNvPr>
        <xdr:cNvSpPr>
          <a:spLocks noChangeArrowheads="1"/>
        </xdr:cNvSpPr>
      </xdr:nvSpPr>
      <xdr:spPr bwMode="auto">
        <a:xfrm>
          <a:off x="5343525"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323850</xdr:colOff>
      <xdr:row>2</xdr:row>
      <xdr:rowOff>161925</xdr:rowOff>
    </xdr:from>
    <xdr:to>
      <xdr:col>0</xdr:col>
      <xdr:colOff>1685925</xdr:colOff>
      <xdr:row>2</xdr:row>
      <xdr:rowOff>828675</xdr:rowOff>
    </xdr:to>
    <xdr:sp macro="" textlink="">
      <xdr:nvSpPr>
        <xdr:cNvPr id="10" name="AutoShape 8">
          <a:extLst>
            <a:ext uri="{FF2B5EF4-FFF2-40B4-BE49-F238E27FC236}">
              <a16:creationId xmlns:a16="http://schemas.microsoft.com/office/drawing/2014/main" id="{00000000-0008-0000-0100-00000A000000}"/>
            </a:ext>
          </a:extLst>
        </xdr:cNvPr>
        <xdr:cNvSpPr>
          <a:spLocks noChangeArrowheads="1"/>
        </xdr:cNvSpPr>
      </xdr:nvSpPr>
      <xdr:spPr bwMode="auto">
        <a:xfrm>
          <a:off x="323850" y="1171575"/>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IN" sz="1000" b="1" i="0" u="none" strike="noStrike" baseline="0">
            <a:solidFill>
              <a:srgbClr val="000000"/>
            </a:solidFill>
            <a:latin typeface="Arial"/>
            <a:cs typeface="Arial"/>
          </a:endParaRPr>
        </a:p>
        <a:p>
          <a:pPr algn="ctr" rtl="0">
            <a:defRPr sz="1000"/>
          </a:pPr>
          <a:r>
            <a:rPr lang="en-IN" sz="1000" b="1" i="0" u="none" strike="noStrike" baseline="0">
              <a:solidFill>
                <a:srgbClr val="000000"/>
              </a:solidFill>
              <a:latin typeface="Arial"/>
              <a:cs typeface="Arial"/>
            </a:rPr>
            <a:t>Identify Assets </a:t>
          </a:r>
        </a:p>
      </xdr:txBody>
    </xdr:sp>
    <xdr:clientData/>
  </xdr:twoCellAnchor>
  <xdr:twoCellAnchor>
    <xdr:from>
      <xdr:col>1</xdr:col>
      <xdr:colOff>76200</xdr:colOff>
      <xdr:row>2</xdr:row>
      <xdr:rowOff>152400</xdr:rowOff>
    </xdr:from>
    <xdr:to>
      <xdr:col>1</xdr:col>
      <xdr:colOff>1438275</xdr:colOff>
      <xdr:row>2</xdr:row>
      <xdr:rowOff>819150</xdr:rowOff>
    </xdr:to>
    <xdr:sp macro="" textlink="">
      <xdr:nvSpPr>
        <xdr:cNvPr id="11" name="AutoShape 9">
          <a:extLst>
            <a:ext uri="{FF2B5EF4-FFF2-40B4-BE49-F238E27FC236}">
              <a16:creationId xmlns:a16="http://schemas.microsoft.com/office/drawing/2014/main" id="{00000000-0008-0000-0100-00000B000000}"/>
            </a:ext>
          </a:extLst>
        </xdr:cNvPr>
        <xdr:cNvSpPr>
          <a:spLocks noChangeArrowheads="1"/>
        </xdr:cNvSpPr>
      </xdr:nvSpPr>
      <xdr:spPr bwMode="auto">
        <a:xfrm>
          <a:off x="2133600" y="116205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  Capture Asset Information </a:t>
          </a:r>
        </a:p>
      </xdr:txBody>
    </xdr:sp>
    <xdr:clientData/>
  </xdr:twoCellAnchor>
  <xdr:twoCellAnchor>
    <xdr:from>
      <xdr:col>1</xdr:col>
      <xdr:colOff>1838325</xdr:colOff>
      <xdr:row>2</xdr:row>
      <xdr:rowOff>142875</xdr:rowOff>
    </xdr:from>
    <xdr:to>
      <xdr:col>2</xdr:col>
      <xdr:colOff>857250</xdr:colOff>
      <xdr:row>2</xdr:row>
      <xdr:rowOff>828675</xdr:rowOff>
    </xdr:to>
    <xdr:sp macro="" textlink="">
      <xdr:nvSpPr>
        <xdr:cNvPr id="12" name="AutoShape 11">
          <a:extLst>
            <a:ext uri="{FF2B5EF4-FFF2-40B4-BE49-F238E27FC236}">
              <a16:creationId xmlns:a16="http://schemas.microsoft.com/office/drawing/2014/main" id="{00000000-0008-0000-0100-00000C000000}"/>
            </a:ext>
          </a:extLst>
        </xdr:cNvPr>
        <xdr:cNvSpPr>
          <a:spLocks noChangeArrowheads="1"/>
        </xdr:cNvSpPr>
      </xdr:nvSpPr>
      <xdr:spPr bwMode="auto">
        <a:xfrm>
          <a:off x="3895725" y="1152525"/>
          <a:ext cx="1371600" cy="68580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Determine Asset Business Value</a:t>
          </a:r>
        </a:p>
      </xdr:txBody>
    </xdr:sp>
    <xdr:clientData/>
  </xdr:twoCellAnchor>
  <xdr:twoCellAnchor>
    <xdr:from>
      <xdr:col>0</xdr:col>
      <xdr:colOff>1790700</xdr:colOff>
      <xdr:row>2</xdr:row>
      <xdr:rowOff>333375</xdr:rowOff>
    </xdr:from>
    <xdr:to>
      <xdr:col>1</xdr:col>
      <xdr:colOff>9525</xdr:colOff>
      <xdr:row>2</xdr:row>
      <xdr:rowOff>581025</xdr:rowOff>
    </xdr:to>
    <xdr:sp macro="" textlink="">
      <xdr:nvSpPr>
        <xdr:cNvPr id="13" name="AutoShape 12">
          <a:extLst>
            <a:ext uri="{FF2B5EF4-FFF2-40B4-BE49-F238E27FC236}">
              <a16:creationId xmlns:a16="http://schemas.microsoft.com/office/drawing/2014/main" id="{00000000-0008-0000-0100-00000D000000}"/>
            </a:ext>
          </a:extLst>
        </xdr:cNvPr>
        <xdr:cNvSpPr>
          <a:spLocks noChangeArrowheads="1"/>
        </xdr:cNvSpPr>
      </xdr:nvSpPr>
      <xdr:spPr bwMode="auto">
        <a:xfrm>
          <a:off x="1790700" y="1343025"/>
          <a:ext cx="276225"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1504950</xdr:colOff>
      <xdr:row>2</xdr:row>
      <xdr:rowOff>361950</xdr:rowOff>
    </xdr:from>
    <xdr:to>
      <xdr:col>1</xdr:col>
      <xdr:colOff>1733550</xdr:colOff>
      <xdr:row>2</xdr:row>
      <xdr:rowOff>609600</xdr:rowOff>
    </xdr:to>
    <xdr:sp macro="" textlink="">
      <xdr:nvSpPr>
        <xdr:cNvPr id="14" name="AutoShape 13">
          <a:extLst>
            <a:ext uri="{FF2B5EF4-FFF2-40B4-BE49-F238E27FC236}">
              <a16:creationId xmlns:a16="http://schemas.microsoft.com/office/drawing/2014/main" id="{00000000-0008-0000-0100-00000E000000}"/>
            </a:ext>
          </a:extLst>
        </xdr:cNvPr>
        <xdr:cNvSpPr>
          <a:spLocks noChangeArrowheads="1"/>
        </xdr:cNvSpPr>
      </xdr:nvSpPr>
      <xdr:spPr bwMode="auto">
        <a:xfrm>
          <a:off x="3562350"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1362075</xdr:colOff>
      <xdr:row>2</xdr:row>
      <xdr:rowOff>133350</xdr:rowOff>
    </xdr:from>
    <xdr:to>
      <xdr:col>2</xdr:col>
      <xdr:colOff>2724150</xdr:colOff>
      <xdr:row>2</xdr:row>
      <xdr:rowOff>800100</xdr:rowOff>
    </xdr:to>
    <xdr:sp macro="" textlink="">
      <xdr:nvSpPr>
        <xdr:cNvPr id="15" name="AutoShape 10">
          <a:extLst>
            <a:ext uri="{FF2B5EF4-FFF2-40B4-BE49-F238E27FC236}">
              <a16:creationId xmlns:a16="http://schemas.microsoft.com/office/drawing/2014/main" id="{00000000-0008-0000-0100-00000F000000}"/>
            </a:ext>
          </a:extLst>
        </xdr:cNvPr>
        <xdr:cNvSpPr>
          <a:spLocks noChangeArrowheads="1"/>
        </xdr:cNvSpPr>
      </xdr:nvSpPr>
      <xdr:spPr bwMode="auto">
        <a:xfrm>
          <a:off x="5772150" y="114300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lnSpc>
              <a:spcPts val="900"/>
            </a:lnSpc>
            <a:defRPr sz="1000"/>
          </a:pPr>
          <a:endParaRPr lang="en-IN" sz="1000" b="1" i="0" u="none" strike="noStrike" baseline="0">
            <a:solidFill>
              <a:srgbClr val="000000"/>
            </a:solidFill>
            <a:latin typeface="Arial"/>
            <a:ea typeface="+mn-ea"/>
            <a:cs typeface="Arial"/>
          </a:endParaRPr>
        </a:p>
        <a:p>
          <a:pPr marL="0" indent="0" algn="ctr" rtl="0">
            <a:lnSpc>
              <a:spcPts val="900"/>
            </a:lnSpc>
            <a:defRPr sz="1000"/>
          </a:pPr>
          <a:r>
            <a:rPr lang="en-IN" sz="1000" b="1" i="0" u="none" strike="noStrike" baseline="0">
              <a:solidFill>
                <a:srgbClr val="000000"/>
              </a:solidFill>
              <a:latin typeface="Arial"/>
              <a:ea typeface="+mn-ea"/>
              <a:cs typeface="Arial"/>
            </a:rPr>
            <a:t>Determine Asset </a:t>
          </a:r>
        </a:p>
        <a:p>
          <a:pPr marL="0" indent="0" algn="ctr" rtl="0">
            <a:lnSpc>
              <a:spcPts val="900"/>
            </a:lnSpc>
            <a:defRPr sz="1000"/>
          </a:pPr>
          <a:r>
            <a:rPr lang="en-IN" sz="1000" b="1" i="0" u="none" strike="noStrike" baseline="0">
              <a:solidFill>
                <a:srgbClr val="000000"/>
              </a:solidFill>
              <a:latin typeface="Arial"/>
              <a:ea typeface="+mn-ea"/>
              <a:cs typeface="Arial"/>
            </a:rPr>
            <a:t> Classification</a:t>
          </a:r>
        </a:p>
      </xdr:txBody>
    </xdr:sp>
    <xdr:clientData/>
  </xdr:twoCellAnchor>
  <xdr:twoCellAnchor>
    <xdr:from>
      <xdr:col>2</xdr:col>
      <xdr:colOff>933450</xdr:colOff>
      <xdr:row>2</xdr:row>
      <xdr:rowOff>361950</xdr:rowOff>
    </xdr:from>
    <xdr:to>
      <xdr:col>2</xdr:col>
      <xdr:colOff>1162050</xdr:colOff>
      <xdr:row>2</xdr:row>
      <xdr:rowOff>609600</xdr:rowOff>
    </xdr:to>
    <xdr:sp macro="" textlink="">
      <xdr:nvSpPr>
        <xdr:cNvPr id="16" name="AutoShape 7">
          <a:extLst>
            <a:ext uri="{FF2B5EF4-FFF2-40B4-BE49-F238E27FC236}">
              <a16:creationId xmlns:a16="http://schemas.microsoft.com/office/drawing/2014/main" id="{00000000-0008-0000-0100-000010000000}"/>
            </a:ext>
          </a:extLst>
        </xdr:cNvPr>
        <xdr:cNvSpPr>
          <a:spLocks noChangeArrowheads="1"/>
        </xdr:cNvSpPr>
      </xdr:nvSpPr>
      <xdr:spPr bwMode="auto">
        <a:xfrm>
          <a:off x="5343525"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323850</xdr:colOff>
      <xdr:row>2</xdr:row>
      <xdr:rowOff>161925</xdr:rowOff>
    </xdr:from>
    <xdr:to>
      <xdr:col>0</xdr:col>
      <xdr:colOff>1685925</xdr:colOff>
      <xdr:row>2</xdr:row>
      <xdr:rowOff>828675</xdr:rowOff>
    </xdr:to>
    <xdr:sp macro="" textlink="">
      <xdr:nvSpPr>
        <xdr:cNvPr id="17" name="AutoShape 8">
          <a:extLst>
            <a:ext uri="{FF2B5EF4-FFF2-40B4-BE49-F238E27FC236}">
              <a16:creationId xmlns:a16="http://schemas.microsoft.com/office/drawing/2014/main" id="{00000000-0008-0000-0100-000011000000}"/>
            </a:ext>
          </a:extLst>
        </xdr:cNvPr>
        <xdr:cNvSpPr>
          <a:spLocks noChangeArrowheads="1"/>
        </xdr:cNvSpPr>
      </xdr:nvSpPr>
      <xdr:spPr bwMode="auto">
        <a:xfrm>
          <a:off x="323850" y="1171575"/>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IN" sz="1000" b="1" i="0" u="none" strike="noStrike" baseline="0">
            <a:solidFill>
              <a:srgbClr val="000000"/>
            </a:solidFill>
            <a:latin typeface="Arial"/>
            <a:cs typeface="Arial"/>
          </a:endParaRPr>
        </a:p>
        <a:p>
          <a:pPr algn="ctr" rtl="0">
            <a:defRPr sz="1000"/>
          </a:pPr>
          <a:r>
            <a:rPr lang="en-IN" sz="1000" b="1" i="0" u="none" strike="noStrike" baseline="0">
              <a:solidFill>
                <a:srgbClr val="000000"/>
              </a:solidFill>
              <a:latin typeface="Arial"/>
              <a:cs typeface="Arial"/>
            </a:rPr>
            <a:t>Identify Assets </a:t>
          </a:r>
        </a:p>
      </xdr:txBody>
    </xdr:sp>
    <xdr:clientData/>
  </xdr:twoCellAnchor>
  <xdr:twoCellAnchor>
    <xdr:from>
      <xdr:col>1</xdr:col>
      <xdr:colOff>76200</xdr:colOff>
      <xdr:row>2</xdr:row>
      <xdr:rowOff>152400</xdr:rowOff>
    </xdr:from>
    <xdr:to>
      <xdr:col>1</xdr:col>
      <xdr:colOff>1438275</xdr:colOff>
      <xdr:row>2</xdr:row>
      <xdr:rowOff>819150</xdr:rowOff>
    </xdr:to>
    <xdr:sp macro="" textlink="">
      <xdr:nvSpPr>
        <xdr:cNvPr id="18" name="AutoShape 9">
          <a:extLst>
            <a:ext uri="{FF2B5EF4-FFF2-40B4-BE49-F238E27FC236}">
              <a16:creationId xmlns:a16="http://schemas.microsoft.com/office/drawing/2014/main" id="{00000000-0008-0000-0100-000012000000}"/>
            </a:ext>
          </a:extLst>
        </xdr:cNvPr>
        <xdr:cNvSpPr>
          <a:spLocks noChangeArrowheads="1"/>
        </xdr:cNvSpPr>
      </xdr:nvSpPr>
      <xdr:spPr bwMode="auto">
        <a:xfrm>
          <a:off x="2133600" y="116205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  Capture Asset Information </a:t>
          </a:r>
        </a:p>
      </xdr:txBody>
    </xdr:sp>
    <xdr:clientData/>
  </xdr:twoCellAnchor>
  <xdr:twoCellAnchor>
    <xdr:from>
      <xdr:col>1</xdr:col>
      <xdr:colOff>1838325</xdr:colOff>
      <xdr:row>2</xdr:row>
      <xdr:rowOff>142875</xdr:rowOff>
    </xdr:from>
    <xdr:to>
      <xdr:col>2</xdr:col>
      <xdr:colOff>857250</xdr:colOff>
      <xdr:row>2</xdr:row>
      <xdr:rowOff>828675</xdr:rowOff>
    </xdr:to>
    <xdr:sp macro="" textlink="">
      <xdr:nvSpPr>
        <xdr:cNvPr id="19" name="AutoShape 11">
          <a:extLst>
            <a:ext uri="{FF2B5EF4-FFF2-40B4-BE49-F238E27FC236}">
              <a16:creationId xmlns:a16="http://schemas.microsoft.com/office/drawing/2014/main" id="{00000000-0008-0000-0100-000013000000}"/>
            </a:ext>
          </a:extLst>
        </xdr:cNvPr>
        <xdr:cNvSpPr>
          <a:spLocks noChangeArrowheads="1"/>
        </xdr:cNvSpPr>
      </xdr:nvSpPr>
      <xdr:spPr bwMode="auto">
        <a:xfrm>
          <a:off x="3895725" y="1152525"/>
          <a:ext cx="1371600" cy="68580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defRPr sz="1000"/>
          </a:pPr>
          <a:endParaRPr lang="en-IN" sz="1000" b="1" i="0" u="none" strike="noStrike" baseline="0">
            <a:solidFill>
              <a:srgbClr val="000000"/>
            </a:solidFill>
            <a:latin typeface="Arial"/>
            <a:ea typeface="+mn-ea"/>
            <a:cs typeface="Arial"/>
          </a:endParaRPr>
        </a:p>
        <a:p>
          <a:pPr marL="0" indent="0" algn="ctr" rtl="0">
            <a:defRPr sz="1000"/>
          </a:pPr>
          <a:r>
            <a:rPr lang="en-IN" sz="1000" b="1" i="0" u="none" strike="noStrike" baseline="0">
              <a:solidFill>
                <a:srgbClr val="000000"/>
              </a:solidFill>
              <a:latin typeface="Arial"/>
              <a:ea typeface="+mn-ea"/>
              <a:cs typeface="Arial"/>
            </a:rPr>
            <a:t>Determine Asset Business Value</a:t>
          </a:r>
        </a:p>
      </xdr:txBody>
    </xdr:sp>
    <xdr:clientData/>
  </xdr:twoCellAnchor>
  <xdr:twoCellAnchor>
    <xdr:from>
      <xdr:col>0</xdr:col>
      <xdr:colOff>1790700</xdr:colOff>
      <xdr:row>2</xdr:row>
      <xdr:rowOff>333375</xdr:rowOff>
    </xdr:from>
    <xdr:to>
      <xdr:col>1</xdr:col>
      <xdr:colOff>9525</xdr:colOff>
      <xdr:row>2</xdr:row>
      <xdr:rowOff>581025</xdr:rowOff>
    </xdr:to>
    <xdr:sp macro="" textlink="">
      <xdr:nvSpPr>
        <xdr:cNvPr id="20" name="AutoShape 12">
          <a:extLst>
            <a:ext uri="{FF2B5EF4-FFF2-40B4-BE49-F238E27FC236}">
              <a16:creationId xmlns:a16="http://schemas.microsoft.com/office/drawing/2014/main" id="{00000000-0008-0000-0100-000014000000}"/>
            </a:ext>
          </a:extLst>
        </xdr:cNvPr>
        <xdr:cNvSpPr>
          <a:spLocks noChangeArrowheads="1"/>
        </xdr:cNvSpPr>
      </xdr:nvSpPr>
      <xdr:spPr bwMode="auto">
        <a:xfrm>
          <a:off x="1790700" y="1343025"/>
          <a:ext cx="276225"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1504950</xdr:colOff>
      <xdr:row>2</xdr:row>
      <xdr:rowOff>361950</xdr:rowOff>
    </xdr:from>
    <xdr:to>
      <xdr:col>1</xdr:col>
      <xdr:colOff>1733550</xdr:colOff>
      <xdr:row>2</xdr:row>
      <xdr:rowOff>609600</xdr:rowOff>
    </xdr:to>
    <xdr:sp macro="" textlink="">
      <xdr:nvSpPr>
        <xdr:cNvPr id="21" name="AutoShape 13">
          <a:extLst>
            <a:ext uri="{FF2B5EF4-FFF2-40B4-BE49-F238E27FC236}">
              <a16:creationId xmlns:a16="http://schemas.microsoft.com/office/drawing/2014/main" id="{00000000-0008-0000-0100-000015000000}"/>
            </a:ext>
          </a:extLst>
        </xdr:cNvPr>
        <xdr:cNvSpPr>
          <a:spLocks noChangeArrowheads="1"/>
        </xdr:cNvSpPr>
      </xdr:nvSpPr>
      <xdr:spPr bwMode="auto">
        <a:xfrm>
          <a:off x="3562350" y="1371600"/>
          <a:ext cx="228600" cy="247650"/>
        </a:xfrm>
        <a:prstGeom prst="rightArrow">
          <a:avLst>
            <a:gd name="adj1" fmla="val 50000"/>
            <a:gd name="adj2" fmla="val 25000"/>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1362075</xdr:colOff>
      <xdr:row>2</xdr:row>
      <xdr:rowOff>133350</xdr:rowOff>
    </xdr:from>
    <xdr:to>
      <xdr:col>2</xdr:col>
      <xdr:colOff>2724150</xdr:colOff>
      <xdr:row>2</xdr:row>
      <xdr:rowOff>800100</xdr:rowOff>
    </xdr:to>
    <xdr:sp macro="" textlink="">
      <xdr:nvSpPr>
        <xdr:cNvPr id="22" name="AutoShape 10">
          <a:extLst>
            <a:ext uri="{FF2B5EF4-FFF2-40B4-BE49-F238E27FC236}">
              <a16:creationId xmlns:a16="http://schemas.microsoft.com/office/drawing/2014/main" id="{00000000-0008-0000-0100-000016000000}"/>
            </a:ext>
          </a:extLst>
        </xdr:cNvPr>
        <xdr:cNvSpPr>
          <a:spLocks noChangeArrowheads="1"/>
        </xdr:cNvSpPr>
      </xdr:nvSpPr>
      <xdr:spPr bwMode="auto">
        <a:xfrm>
          <a:off x="5772150" y="1143000"/>
          <a:ext cx="1362075" cy="666750"/>
        </a:xfrm>
        <a:prstGeom prst="flowChartProcess">
          <a:avLst/>
        </a:prstGeom>
        <a:solidFill>
          <a:schemeClr val="bg1">
            <a:lumMod val="8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marL="0" indent="0" algn="ctr" rtl="0">
            <a:lnSpc>
              <a:spcPts val="900"/>
            </a:lnSpc>
            <a:defRPr sz="1000"/>
          </a:pPr>
          <a:endParaRPr lang="en-IN" sz="1000" b="1" i="0" u="none" strike="noStrike" baseline="0">
            <a:solidFill>
              <a:srgbClr val="000000"/>
            </a:solidFill>
            <a:latin typeface="Arial"/>
            <a:ea typeface="+mn-ea"/>
            <a:cs typeface="Arial"/>
          </a:endParaRPr>
        </a:p>
        <a:p>
          <a:pPr marL="0" indent="0" algn="ctr" rtl="0">
            <a:lnSpc>
              <a:spcPts val="900"/>
            </a:lnSpc>
            <a:defRPr sz="1000"/>
          </a:pPr>
          <a:r>
            <a:rPr lang="en-IN" sz="1000" b="1" i="0" u="none" strike="noStrike" baseline="0">
              <a:solidFill>
                <a:srgbClr val="000000"/>
              </a:solidFill>
              <a:latin typeface="Arial"/>
              <a:ea typeface="+mn-ea"/>
              <a:cs typeface="Arial"/>
            </a:rPr>
            <a:t>Determine Asset </a:t>
          </a:r>
        </a:p>
        <a:p>
          <a:pPr marL="0" indent="0" algn="ctr" rtl="0">
            <a:lnSpc>
              <a:spcPts val="900"/>
            </a:lnSpc>
            <a:defRPr sz="1000"/>
          </a:pPr>
          <a:r>
            <a:rPr lang="en-IN" sz="1000" b="1" i="0" u="none" strike="noStrike" baseline="0">
              <a:solidFill>
                <a:srgbClr val="000000"/>
              </a:solidFill>
              <a:latin typeface="Arial"/>
              <a:ea typeface="+mn-ea"/>
              <a:cs typeface="Arial"/>
            </a:rPr>
            <a:t> Classification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ffice/Client%20Data/Max%20Life%20Insurance/Documents/Final/Risk%20Assessment/RA%20Max%20Life_V3.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yatin.bassi/My%20Documents/Bluetooth%20Exchange%20Folder/From%20Anuranga/RA%20check%20lists_19.10.2010/Infrastructure_and_Safety_Policy%20_Checklist_Sri%20Lanka_HO.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Preetinder.Bedi/Application%20Data/Microsoft/Excel/Infrastructure_and_Safety_Policy%20_Checklist_Cat_A%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simran.jodhka\Desktop\B2B%20West\Sample%20Templates\Threat%20Vulnerability%20Mapp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sset Inventory"/>
      <sheetName val="Asset Details"/>
      <sheetName val="AssetThreat"/>
      <sheetName val="ThreatRepo"/>
      <sheetName val="VulRepo"/>
      <sheetName val="RPN"/>
      <sheetName val="RA - Uninterrupted Power Supply"/>
      <sheetName val="RA - Air Conditioning"/>
      <sheetName val="RA - Monitoring, Access &amp; Surv."/>
      <sheetName val="RA - Fire Fighting equipment"/>
      <sheetName val="RA - Communication Links"/>
      <sheetName val="RA - Information Processing"/>
      <sheetName val="RA - Firewall"/>
      <sheetName val="RA - Load Balancers"/>
      <sheetName val="RA - VPN Appliance"/>
      <sheetName val="RA - Network Switch"/>
      <sheetName val="RA - SAN Switches"/>
      <sheetName val="RA - Routers"/>
      <sheetName val="RA - Desktops"/>
      <sheetName val="RA - Laptops"/>
      <sheetName val="RA -Production Server"/>
      <sheetName val="RA - Development Servers"/>
      <sheetName val="RA - SAN Storage Devices"/>
      <sheetName val="RA - Backup Servers"/>
      <sheetName val="RA - Datab.(Production)"/>
      <sheetName val="RA - Datab.(Dev and testing)"/>
      <sheetName val="RA - Policies and procedures"/>
      <sheetName val="RA - System Documentation"/>
      <sheetName val="RA - Contracts"/>
      <sheetName val="RA - Information in Print"/>
      <sheetName val="RA - Critical Application"/>
      <sheetName val="RA - Non Critical Application"/>
      <sheetName val="RA - Security and Manag. Tools"/>
      <sheetName val="RA - Software Licenses"/>
      <sheetName val="RA - Media(Tapes)"/>
      <sheetName val="RA - Senior Management"/>
      <sheetName val="RA - Administrators"/>
      <sheetName val="RA - Operational Personnel"/>
      <sheetName val="RA - Operational Personnel (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about the Location"/>
      <sheetName val="Site Summary"/>
      <sheetName val="Infra. &amp; Safety Policy Chk Lst"/>
      <sheetName val="Score Sheet"/>
      <sheetName val="Pick Menus"/>
    </sheetNames>
    <sheetDataSet>
      <sheetData sheetId="0" refreshError="1"/>
      <sheetData sheetId="1" refreshError="1"/>
      <sheetData sheetId="2" refreshError="1"/>
      <sheetData sheetId="3" refreshError="1"/>
      <sheetData sheetId="4">
        <row r="15">
          <cell r="C15" t="str">
            <v>NA</v>
          </cell>
        </row>
        <row r="16">
          <cell r="C16" t="str">
            <v>Yes</v>
          </cell>
        </row>
        <row r="17">
          <cell r="C17" t="str">
            <v>No</v>
          </cell>
        </row>
        <row r="18">
          <cell r="C18" t="str">
            <v>Partial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about the Location"/>
      <sheetName val="Site Summary"/>
      <sheetName val="Infra. &amp; Safety Policy Chk Lst"/>
      <sheetName val="Score Sheet"/>
      <sheetName val="Pick Menus"/>
    </sheetNames>
    <sheetDataSet>
      <sheetData sheetId="0"/>
      <sheetData sheetId="1"/>
      <sheetData sheetId="2"/>
      <sheetData sheetId="3"/>
      <sheetData sheetId="4">
        <row r="15">
          <cell r="C15" t="str">
            <v>NA</v>
          </cell>
        </row>
        <row r="16">
          <cell r="C16" t="str">
            <v>Yes</v>
          </cell>
        </row>
        <row r="17">
          <cell r="C17" t="str">
            <v>No</v>
          </cell>
        </row>
        <row r="18">
          <cell r="C18" t="str">
            <v>Partial</v>
          </cell>
        </row>
        <row r="22">
          <cell r="C22" t="str">
            <v xml:space="preserve">High </v>
          </cell>
        </row>
        <row r="23">
          <cell r="C23" t="str">
            <v>Medium</v>
          </cell>
        </row>
        <row r="24">
          <cell r="C24" t="str">
            <v>Low</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VC"/>
      <sheetName val="Vuln"/>
      <sheetName val="Threat Vulnerability Mapping"/>
      <sheetName val="Threat Applicability"/>
    </sheetNames>
    <sheetDataSet>
      <sheetData sheetId="0"/>
      <sheetData sheetId="1">
        <row r="2">
          <cell r="A2" t="str">
            <v>Absence of auditing tools</v>
          </cell>
        </row>
        <row r="3">
          <cell r="A3" t="str">
            <v>Absence of change management process</v>
          </cell>
        </row>
        <row r="4">
          <cell r="A4" t="str">
            <v>Absence of correct classification / labeling</v>
          </cell>
        </row>
        <row r="5">
          <cell r="A5" t="str">
            <v>Absence of disciplinary process</v>
          </cell>
        </row>
        <row r="6">
          <cell r="A6" t="str">
            <v>Absence of earthing systems</v>
          </cell>
        </row>
        <row r="7">
          <cell r="A7" t="str">
            <v>Absence of fire management systems</v>
          </cell>
        </row>
        <row r="8">
          <cell r="A8" t="str">
            <v>Absence of mail filtering</v>
          </cell>
        </row>
        <row r="9">
          <cell r="A9" t="str">
            <v>Absence of power backup</v>
          </cell>
        </row>
        <row r="10">
          <cell r="A10" t="str">
            <v>Absence of Standard Operating Procedures (SOPs) / Poor Documentation</v>
          </cell>
        </row>
        <row r="11">
          <cell r="A11" t="str">
            <v>Absence of user access management process</v>
          </cell>
        </row>
        <row r="12">
          <cell r="A12" t="str">
            <v>Backup tape failures</v>
          </cell>
        </row>
        <row r="13">
          <cell r="A13" t="str">
            <v>Building located in a low lying area</v>
          </cell>
        </row>
        <row r="14">
          <cell r="A14" t="str">
            <v>Building located in an insecure area</v>
          </cell>
        </row>
        <row r="15">
          <cell r="A15" t="str">
            <v>Building located near sea coast</v>
          </cell>
        </row>
        <row r="16">
          <cell r="A16" t="str">
            <v>Building not earthquake resistant</v>
          </cell>
        </row>
        <row r="17">
          <cell r="A17" t="str">
            <v>Building present in Seismic Zone 'X'</v>
          </cell>
        </row>
        <row r="18">
          <cell r="A18" t="str">
            <v>Complicated user Interface</v>
          </cell>
        </row>
        <row r="19">
          <cell r="A19" t="str">
            <v>Contract Risk Assessment not done</v>
          </cell>
        </row>
        <row r="20">
          <cell r="A20" t="str">
            <v>Contractual obligations not identified</v>
          </cell>
        </row>
        <row r="21">
          <cell r="A21" t="str">
            <v>Denial of Service</v>
          </cell>
        </row>
        <row r="22">
          <cell r="A22" t="str">
            <v>Dispersion of confidential Data</v>
          </cell>
        </row>
        <row r="23">
          <cell r="A23" t="str">
            <v>Employee dissatisfaction</v>
          </cell>
        </row>
        <row r="24">
          <cell r="A24" t="str">
            <v>Employees attrition</v>
          </cell>
        </row>
        <row r="25">
          <cell r="A25" t="str">
            <v xml:space="preserve">Equipment sensitivity to moisture and contaminants </v>
          </cell>
        </row>
        <row r="26">
          <cell r="A26" t="str">
            <v>Equipment sensitivity to temperature</v>
          </cell>
        </row>
        <row r="27">
          <cell r="A27" t="str">
            <v>Failure of outsourced services</v>
          </cell>
        </row>
        <row r="28">
          <cell r="A28" t="str">
            <v>Failure to monitor contractual Clauses</v>
          </cell>
        </row>
        <row r="29">
          <cell r="A29" t="str">
            <v>Failure/ No Backup for Service Equipment</v>
          </cell>
        </row>
        <row r="30">
          <cell r="A30" t="str">
            <v>Frequent power failure</v>
          </cell>
        </row>
        <row r="31">
          <cell r="A31" t="str">
            <v>Hardware failure</v>
          </cell>
        </row>
        <row r="32">
          <cell r="A32" t="str">
            <v>Ignorance, Carelessness, negligence or idle curiosity by users / Staff / Employees</v>
          </cell>
        </row>
        <row r="33">
          <cell r="A33" t="str">
            <v>Improper / Inadequate HR polices</v>
          </cell>
        </row>
        <row r="34">
          <cell r="A34" t="str">
            <v>Improper control of software development and antivirus updates</v>
          </cell>
        </row>
        <row r="35">
          <cell r="A35" t="str">
            <v>Improper control on removable storage media</v>
          </cell>
        </row>
        <row r="36">
          <cell r="A36" t="str">
            <v>Improper service from third party</v>
          </cell>
        </row>
        <row r="37">
          <cell r="A37" t="str">
            <v xml:space="preserve">Improper sharing of files </v>
          </cell>
        </row>
        <row r="38">
          <cell r="A38" t="str">
            <v>Improper system configuration and antivirus updates</v>
          </cell>
        </row>
        <row r="39">
          <cell r="A39" t="str">
            <v>Improper system development</v>
          </cell>
        </row>
        <row r="40">
          <cell r="A40" t="str">
            <v>Inability to provide evidence</v>
          </cell>
        </row>
        <row r="41">
          <cell r="A41" t="str">
            <v>Inadequate backup procedures (Retention, Labeling, Storage and testing plans)</v>
          </cell>
        </row>
        <row r="42">
          <cell r="A42" t="str">
            <v>Inadequate cabling security</v>
          </cell>
        </row>
        <row r="43">
          <cell r="A43" t="str">
            <v xml:space="preserve">Inadequate capacity management </v>
          </cell>
        </row>
        <row r="44">
          <cell r="A44" t="str">
            <v xml:space="preserve">Inadequate control of physical access </v>
          </cell>
        </row>
        <row r="45">
          <cell r="A45" t="str">
            <v>Inadequate control of physical access to restricted areas</v>
          </cell>
        </row>
        <row r="46">
          <cell r="A46" t="str">
            <v>Inadequate Firewall Policies</v>
          </cell>
        </row>
        <row r="47">
          <cell r="A47" t="str">
            <v>Inadequate IPS Policies</v>
          </cell>
        </row>
        <row r="48">
          <cell r="A48" t="str">
            <v>Inadequate Knowledge transfer</v>
          </cell>
        </row>
        <row r="49">
          <cell r="A49" t="str">
            <v>Inadequate log monitoring</v>
          </cell>
        </row>
        <row r="50">
          <cell r="A50" t="str">
            <v xml:space="preserve">Inadequate maintenance </v>
          </cell>
        </row>
        <row r="51">
          <cell r="A51" t="str">
            <v xml:space="preserve">Inadequate password management </v>
          </cell>
        </row>
        <row r="52">
          <cell r="A52" t="str">
            <v>Inadequate physical protection</v>
          </cell>
        </row>
        <row r="53">
          <cell r="A53" t="str">
            <v>Inadequate physical security</v>
          </cell>
        </row>
        <row r="54">
          <cell r="A54" t="str">
            <v>Inadequate segregation of duties</v>
          </cell>
        </row>
        <row r="55">
          <cell r="A55" t="str">
            <v>Inadequate tie up with weather department</v>
          </cell>
        </row>
        <row r="56">
          <cell r="A56" t="str">
            <v>Inadequate tie up with nearby hospitals and health centers</v>
          </cell>
        </row>
        <row r="57">
          <cell r="A57" t="str">
            <v>Inadequate version control/improper training</v>
          </cell>
        </row>
        <row r="58">
          <cell r="A58" t="str">
            <v>Inappropriate handling / Storage of documents</v>
          </cell>
        </row>
        <row r="59">
          <cell r="A59" t="str">
            <v>Incapacitated</v>
          </cell>
        </row>
        <row r="60">
          <cell r="A60" t="str">
            <v>Incomplete / Improper operating procedures</v>
          </cell>
        </row>
        <row r="61">
          <cell r="A61" t="str">
            <v>Insecure network design</v>
          </cell>
        </row>
        <row r="62">
          <cell r="A62" t="str">
            <v>Lack of access control</v>
          </cell>
        </row>
        <row r="63">
          <cell r="A63" t="str">
            <v>Lack of adequate contract with third parties</v>
          </cell>
        </row>
        <row r="64">
          <cell r="A64" t="str">
            <v>Lack of AMC</v>
          </cell>
        </row>
        <row r="65">
          <cell r="A65" t="str">
            <v>Lack of application controls</v>
          </cell>
        </row>
        <row r="66">
          <cell r="A66" t="str">
            <v>Lack of appropriate monitoring</v>
          </cell>
        </row>
        <row r="67">
          <cell r="A67" t="str">
            <v>Lack of awareness and training</v>
          </cell>
        </row>
        <row r="68">
          <cell r="A68" t="str">
            <v>Lack of awareness on the policy and procedures</v>
          </cell>
        </row>
        <row r="69">
          <cell r="A69" t="str">
            <v>Lack of BCP Planning</v>
          </cell>
        </row>
        <row r="70">
          <cell r="A70" t="str">
            <v>Lack of capacity planning and / or monitoring</v>
          </cell>
        </row>
        <row r="71">
          <cell r="A71" t="str">
            <v>Lack of CCTV cameras in the work areas</v>
          </cell>
        </row>
        <row r="72">
          <cell r="A72" t="str">
            <v>Lack of critical resources</v>
          </cell>
        </row>
        <row r="73">
          <cell r="A73" t="str">
            <v>Lack of critical resources management</v>
          </cell>
        </row>
        <row r="74">
          <cell r="A74" t="str">
            <v>Lack of cryptographic controls/network controls</v>
          </cell>
        </row>
        <row r="75">
          <cell r="A75" t="str">
            <v>Lack of Disaster Recovery / Continuity Planning</v>
          </cell>
        </row>
        <row r="76">
          <cell r="A76" t="str">
            <v>Lack of disciplinary process</v>
          </cell>
        </row>
        <row r="77">
          <cell r="A77" t="str">
            <v>Lack of health safety measures</v>
          </cell>
        </row>
        <row r="78">
          <cell r="A78" t="str">
            <v>Lack of healthy working environment</v>
          </cell>
        </row>
        <row r="79">
          <cell r="A79" t="str">
            <v>Lack of information security awareness</v>
          </cell>
        </row>
        <row r="80">
          <cell r="A80" t="str">
            <v>Lack of internal documentation (Incident management plans, Business continuity plans)</v>
          </cell>
        </row>
        <row r="81">
          <cell r="A81" t="str">
            <v>Lack of legal advise in any new initiatives</v>
          </cell>
        </row>
        <row r="82">
          <cell r="A82" t="str">
            <v xml:space="preserve">Lack of logical access controls </v>
          </cell>
        </row>
        <row r="83">
          <cell r="A83" t="str">
            <v>Lack of management commitment</v>
          </cell>
        </row>
        <row r="84">
          <cell r="A84" t="str">
            <v>Lack of network access controls</v>
          </cell>
        </row>
        <row r="85">
          <cell r="A85" t="str">
            <v>Lack of Operating System controls</v>
          </cell>
        </row>
        <row r="86">
          <cell r="A86" t="str">
            <v>Lack of organizational coordination</v>
          </cell>
        </row>
        <row r="87">
          <cell r="A87" t="str">
            <v>Lack of patch management</v>
          </cell>
        </row>
        <row r="88">
          <cell r="A88" t="str">
            <v>Lack of physical security controls</v>
          </cell>
        </row>
        <row r="89">
          <cell r="A89" t="str">
            <v>Lack of prevention against network attacks</v>
          </cell>
        </row>
        <row r="90">
          <cell r="A90" t="str">
            <v xml:space="preserve">Lack of procedure for removing access rights upon termination of employment </v>
          </cell>
        </row>
        <row r="91">
          <cell r="A91" t="str">
            <v>Lack of process for equipment repair</v>
          </cell>
        </row>
        <row r="92">
          <cell r="A92" t="str">
            <v xml:space="preserve">Lack of redundancy </v>
          </cell>
        </row>
        <row r="93">
          <cell r="A93" t="str">
            <v>Lack of redundancy (Alternate or multiple vendors)</v>
          </cell>
        </row>
        <row r="94">
          <cell r="A94" t="str">
            <v>Lack of Restoration Testing</v>
          </cell>
        </row>
        <row r="95">
          <cell r="A95" t="str">
            <v>Lack of systems for identification and authentication</v>
          </cell>
        </row>
        <row r="96">
          <cell r="A96" t="str">
            <v>Lack of Third Party Agreements</v>
          </cell>
        </row>
        <row r="97">
          <cell r="A97" t="str">
            <v>Lack of trained security personnel's</v>
          </cell>
        </row>
        <row r="98">
          <cell r="A98" t="str">
            <v>Mis-configuration</v>
          </cell>
        </row>
        <row r="99">
          <cell r="A99" t="str">
            <v>Mis-configuration of mail server</v>
          </cell>
        </row>
        <row r="100">
          <cell r="A100" t="str">
            <v>Mixing of test, development and operational environments</v>
          </cell>
        </row>
        <row r="101">
          <cell r="A101" t="str">
            <v>No content filter</v>
          </cell>
        </row>
        <row r="102">
          <cell r="A102" t="str">
            <v>No controls for Network monitoring</v>
          </cell>
        </row>
        <row r="103">
          <cell r="A103" t="str">
            <v>No generator or UPS or ACs</v>
          </cell>
        </row>
        <row r="104">
          <cell r="A104" t="str">
            <v>No inventory of software assets</v>
          </cell>
        </row>
        <row r="105">
          <cell r="A105" t="str">
            <v xml:space="preserve">No monitoring / screening of security logs </v>
          </cell>
        </row>
        <row r="106">
          <cell r="A106" t="str">
            <v>No monitoring on movement of assets</v>
          </cell>
        </row>
        <row r="107">
          <cell r="A107" t="str">
            <v>No OS / Application hardening</v>
          </cell>
        </row>
        <row r="108">
          <cell r="A108" t="str">
            <v>No Password Policy</v>
          </cell>
        </row>
        <row r="109">
          <cell r="A109" t="str">
            <v>No power backup</v>
          </cell>
        </row>
        <row r="110">
          <cell r="A110" t="str">
            <v>No risk assessment</v>
          </cell>
        </row>
        <row r="111">
          <cell r="A111" t="str">
            <v>No web filtering</v>
          </cell>
        </row>
        <row r="112">
          <cell r="A112" t="str">
            <v>Non adherence to Legal hold policy</v>
          </cell>
        </row>
        <row r="113">
          <cell r="A113" t="str">
            <v>Non compliance with Legal and Legislation requirements</v>
          </cell>
        </row>
        <row r="114">
          <cell r="A114" t="str">
            <v>Pest management not proper</v>
          </cell>
        </row>
        <row r="115">
          <cell r="A115" t="str">
            <v>Power failure</v>
          </cell>
        </row>
        <row r="116">
          <cell r="A116" t="str">
            <v>Presence of inflammable items</v>
          </cell>
        </row>
        <row r="117">
          <cell r="A117" t="str">
            <v>Resignation or termination</v>
          </cell>
        </row>
        <row r="118">
          <cell r="A118" t="str">
            <v>Sensitive data not encrypted</v>
          </cell>
        </row>
        <row r="119">
          <cell r="A119" t="str">
            <v>Temporary absence</v>
          </cell>
        </row>
        <row r="120">
          <cell r="A120" t="str">
            <v>Unauthorized software use</v>
          </cell>
        </row>
        <row r="121">
          <cell r="A121" t="str">
            <v>Uncontrolled internet access</v>
          </cell>
        </row>
        <row r="122">
          <cell r="A122" t="str">
            <v>Unpatched systems and network devices</v>
          </cell>
        </row>
        <row r="123">
          <cell r="A123" t="str">
            <v>User rights not reviewed regularly</v>
          </cell>
        </row>
        <row r="124">
          <cell r="A124" t="str">
            <v>Vulnerable network devices and systems</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showGridLines="0" topLeftCell="A17" zoomScaleNormal="100" workbookViewId="0">
      <selection activeCell="E15" sqref="E15:F15"/>
    </sheetView>
  </sheetViews>
  <sheetFormatPr defaultColWidth="0" defaultRowHeight="12.5" zeroHeight="1" x14ac:dyDescent="0.25"/>
  <cols>
    <col min="1" max="1" width="2.7265625" style="23" customWidth="1"/>
    <col min="2" max="2" width="9.26953125" style="85" bestFit="1" customWidth="1"/>
    <col min="3" max="3" width="10.26953125" style="77" bestFit="1" customWidth="1"/>
    <col min="4" max="4" width="17" style="77" customWidth="1"/>
    <col min="5" max="5" width="14.1796875" style="77" customWidth="1"/>
    <col min="6" max="6" width="18.453125" style="86" customWidth="1"/>
    <col min="7" max="7" width="3.26953125" style="23" customWidth="1"/>
    <col min="8" max="16384" width="9.1796875" style="77" hidden="1"/>
  </cols>
  <sheetData>
    <row r="1" spans="1:7" s="23" customFormat="1" x14ac:dyDescent="0.25"/>
    <row r="2" spans="1:7" s="76" customFormat="1" ht="14.5" x14ac:dyDescent="0.25">
      <c r="A2" s="23"/>
      <c r="B2" s="97" t="s">
        <v>247</v>
      </c>
      <c r="C2" s="97"/>
      <c r="D2" s="97"/>
      <c r="E2" s="97"/>
      <c r="F2" s="97"/>
      <c r="G2" s="23"/>
    </row>
    <row r="3" spans="1:7" ht="14.5" x14ac:dyDescent="0.35">
      <c r="B3" s="91" t="s">
        <v>248</v>
      </c>
      <c r="C3" s="91"/>
      <c r="D3" s="91"/>
      <c r="E3" s="96"/>
      <c r="F3" s="96"/>
    </row>
    <row r="4" spans="1:7" ht="14.5" x14ac:dyDescent="0.35">
      <c r="B4" s="91" t="s">
        <v>249</v>
      </c>
      <c r="C4" s="91"/>
      <c r="D4" s="91"/>
      <c r="E4" s="96"/>
      <c r="F4" s="96"/>
    </row>
    <row r="5" spans="1:7" ht="14.5" x14ac:dyDescent="0.35">
      <c r="B5" s="91" t="s">
        <v>264</v>
      </c>
      <c r="C5" s="91"/>
      <c r="D5" s="91"/>
      <c r="E5" s="96"/>
      <c r="F5" s="96"/>
    </row>
    <row r="6" spans="1:7" ht="14.5" x14ac:dyDescent="0.35">
      <c r="B6" s="91" t="s">
        <v>250</v>
      </c>
      <c r="C6" s="91"/>
      <c r="D6" s="91"/>
      <c r="E6" s="96"/>
      <c r="F6" s="96"/>
    </row>
    <row r="7" spans="1:7" ht="14.5" x14ac:dyDescent="0.35">
      <c r="B7" s="91" t="s">
        <v>251</v>
      </c>
      <c r="C7" s="91"/>
      <c r="D7" s="91"/>
      <c r="E7" s="96"/>
      <c r="F7" s="96"/>
    </row>
    <row r="8" spans="1:7" ht="14.5" x14ac:dyDescent="0.35">
      <c r="B8" s="91" t="s">
        <v>252</v>
      </c>
      <c r="C8" s="91"/>
      <c r="D8" s="91"/>
      <c r="E8" s="93"/>
      <c r="F8" s="93"/>
    </row>
    <row r="9" spans="1:7" ht="14.5" x14ac:dyDescent="0.35">
      <c r="B9" s="91" t="s">
        <v>253</v>
      </c>
      <c r="C9" s="91"/>
      <c r="D9" s="91"/>
      <c r="E9" s="93"/>
      <c r="F9" s="93"/>
    </row>
    <row r="10" spans="1:7" ht="14.5" x14ac:dyDescent="0.35">
      <c r="B10" s="91" t="s">
        <v>265</v>
      </c>
      <c r="C10" s="91"/>
      <c r="D10" s="91"/>
      <c r="E10" s="93"/>
      <c r="F10" s="93"/>
    </row>
    <row r="11" spans="1:7" ht="14.5" x14ac:dyDescent="0.35">
      <c r="B11" s="91" t="s">
        <v>254</v>
      </c>
      <c r="C11" s="91"/>
      <c r="D11" s="91"/>
      <c r="E11" s="93"/>
      <c r="F11" s="93"/>
    </row>
    <row r="12" spans="1:7" ht="69" customHeight="1" x14ac:dyDescent="0.25">
      <c r="B12" s="199" t="s">
        <v>266</v>
      </c>
      <c r="C12" s="94"/>
      <c r="D12" s="95"/>
      <c r="E12" s="95"/>
      <c r="F12" s="95"/>
    </row>
    <row r="13" spans="1:7" ht="14.5" x14ac:dyDescent="0.35">
      <c r="B13" s="91" t="s">
        <v>255</v>
      </c>
      <c r="C13" s="91"/>
      <c r="D13" s="91"/>
      <c r="E13" s="93" t="s">
        <v>256</v>
      </c>
      <c r="F13" s="93"/>
    </row>
    <row r="14" spans="1:7" ht="14.5" x14ac:dyDescent="0.25">
      <c r="B14" s="91" t="s">
        <v>257</v>
      </c>
      <c r="C14" s="91"/>
      <c r="D14" s="91"/>
      <c r="E14" s="92"/>
      <c r="F14" s="92"/>
    </row>
    <row r="15" spans="1:7" s="78" customFormat="1" ht="14.5" x14ac:dyDescent="0.25">
      <c r="A15" s="23"/>
      <c r="B15" s="91" t="s">
        <v>258</v>
      </c>
      <c r="C15" s="91"/>
      <c r="D15" s="91"/>
      <c r="E15" s="92"/>
      <c r="F15" s="92"/>
      <c r="G15" s="23"/>
    </row>
    <row r="16" spans="1:7" s="23" customFormat="1" x14ac:dyDescent="0.25"/>
    <row r="17" spans="1:7" s="76" customFormat="1" ht="29" x14ac:dyDescent="0.25">
      <c r="A17" s="23"/>
      <c r="B17" s="79" t="s">
        <v>259</v>
      </c>
      <c r="C17" s="79" t="s">
        <v>260</v>
      </c>
      <c r="D17" s="79" t="s">
        <v>261</v>
      </c>
      <c r="E17" s="79" t="s">
        <v>262</v>
      </c>
      <c r="F17" s="79" t="s">
        <v>263</v>
      </c>
      <c r="G17" s="23"/>
    </row>
    <row r="18" spans="1:7" ht="14.5" x14ac:dyDescent="0.35">
      <c r="B18" s="80">
        <v>0.1</v>
      </c>
      <c r="C18" s="81"/>
      <c r="D18" s="81"/>
      <c r="E18" s="81"/>
      <c r="F18" s="81"/>
    </row>
    <row r="19" spans="1:7" ht="14.5" x14ac:dyDescent="0.35">
      <c r="B19" s="80">
        <v>0.2</v>
      </c>
      <c r="C19" s="81"/>
      <c r="D19" s="81"/>
      <c r="E19" s="81"/>
      <c r="F19" s="81"/>
    </row>
    <row r="20" spans="1:7" ht="14.5" x14ac:dyDescent="0.35">
      <c r="B20" s="82">
        <v>1</v>
      </c>
      <c r="C20" s="81"/>
      <c r="D20" s="81"/>
      <c r="E20" s="81"/>
      <c r="F20" s="81"/>
    </row>
    <row r="21" spans="1:7" ht="14.5" x14ac:dyDescent="0.35">
      <c r="B21" s="82">
        <v>1.1000000000000001</v>
      </c>
      <c r="C21" s="81"/>
      <c r="D21" s="81"/>
      <c r="E21" s="81"/>
      <c r="F21" s="81"/>
    </row>
    <row r="22" spans="1:7" s="78" customFormat="1" ht="14.5" x14ac:dyDescent="0.35">
      <c r="A22" s="23"/>
      <c r="B22" s="82">
        <v>2</v>
      </c>
      <c r="C22" s="81"/>
      <c r="D22" s="81"/>
      <c r="E22" s="81"/>
      <c r="F22" s="81"/>
      <c r="G22" s="23"/>
    </row>
    <row r="23" spans="1:7" s="23" customFormat="1" x14ac:dyDescent="0.25"/>
    <row r="24" spans="1:7" s="76" customFormat="1" hidden="1" x14ac:dyDescent="0.25">
      <c r="A24" s="23"/>
      <c r="B24" s="83"/>
      <c r="F24" s="84"/>
      <c r="G24" s="23"/>
    </row>
  </sheetData>
  <mergeCells count="26">
    <mergeCell ref="B5:D5"/>
    <mergeCell ref="E5:F5"/>
    <mergeCell ref="B2:F2"/>
    <mergeCell ref="B3:D3"/>
    <mergeCell ref="E3:F3"/>
    <mergeCell ref="B4:D4"/>
    <mergeCell ref="E4:F4"/>
    <mergeCell ref="B6:D6"/>
    <mergeCell ref="E6:F6"/>
    <mergeCell ref="B7:D7"/>
    <mergeCell ref="E7:F7"/>
    <mergeCell ref="B8:D8"/>
    <mergeCell ref="E8:F8"/>
    <mergeCell ref="B15:D15"/>
    <mergeCell ref="E15:F15"/>
    <mergeCell ref="B9:D9"/>
    <mergeCell ref="E9:F9"/>
    <mergeCell ref="B10:D10"/>
    <mergeCell ref="E10:F10"/>
    <mergeCell ref="B11:D11"/>
    <mergeCell ref="E11:F11"/>
    <mergeCell ref="B12:F12"/>
    <mergeCell ref="B13:D13"/>
    <mergeCell ref="E13:F13"/>
    <mergeCell ref="B14:D14"/>
    <mergeCell ref="E14:F14"/>
  </mergeCells>
  <dataValidations count="1">
    <dataValidation type="list" allowBlank="1" showInputMessage="1" showErrorMessage="1" sqref="E13" xr:uid="{00000000-0002-0000-0000-000000000000}">
      <formula1>"Draft, Awaiting Approval, Approved, Rejected"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5"/>
  <sheetViews>
    <sheetView topLeftCell="A30" zoomScaleNormal="100" workbookViewId="0">
      <selection activeCell="D1" sqref="D1"/>
    </sheetView>
  </sheetViews>
  <sheetFormatPr defaultColWidth="11.453125" defaultRowHeight="12.5" x14ac:dyDescent="0.35"/>
  <cols>
    <col min="1" max="1" width="30.81640625" style="64" customWidth="1"/>
    <col min="2" max="2" width="35.26953125" style="64" customWidth="1"/>
    <col min="3" max="3" width="40.81640625" style="65" customWidth="1"/>
    <col min="4" max="4" width="37.453125" style="64" customWidth="1"/>
    <col min="5" max="5" width="34.7265625" style="64" customWidth="1"/>
    <col min="6" max="6" width="21.7265625" style="64" customWidth="1"/>
    <col min="7" max="7" width="18.1796875" style="64" customWidth="1"/>
    <col min="8" max="8" width="18.54296875" style="63" customWidth="1"/>
    <col min="9" max="9" width="15.7265625" style="64" customWidth="1"/>
    <col min="10" max="10" width="29.1796875" style="63" customWidth="1"/>
    <col min="11" max="11" width="34.26953125" style="63" customWidth="1"/>
    <col min="12" max="14" width="25.81640625" style="63" customWidth="1"/>
    <col min="15" max="15" width="19.453125" style="63" customWidth="1"/>
    <col min="16" max="16" width="11.453125" style="63" customWidth="1"/>
    <col min="17" max="17" width="30.1796875" style="63" customWidth="1"/>
    <col min="18" max="18" width="23.453125" style="63" bestFit="1" customWidth="1"/>
    <col min="19" max="19" width="17.54296875" style="63" bestFit="1" customWidth="1"/>
    <col min="20" max="253" width="11.453125" style="63"/>
    <col min="254" max="254" width="30.1796875" style="63" customWidth="1"/>
    <col min="255" max="255" width="35.26953125" style="63" customWidth="1"/>
    <col min="256" max="256" width="42.81640625" style="63" customWidth="1"/>
    <col min="257" max="257" width="41" style="63" customWidth="1"/>
    <col min="258" max="258" width="45" style="63" customWidth="1"/>
    <col min="259" max="259" width="21.7265625" style="63" customWidth="1"/>
    <col min="260" max="260" width="18.1796875" style="63" customWidth="1"/>
    <col min="261" max="261" width="18.54296875" style="63" customWidth="1"/>
    <col min="262" max="262" width="15.7265625" style="63" customWidth="1"/>
    <col min="263" max="263" width="29.1796875" style="63" customWidth="1"/>
    <col min="264" max="264" width="34.26953125" style="63" customWidth="1"/>
    <col min="265" max="267" width="0" style="63" hidden="1" customWidth="1"/>
    <col min="268" max="270" width="25.81640625" style="63" customWidth="1"/>
    <col min="271" max="271" width="19.453125" style="63" customWidth="1"/>
    <col min="272" max="272" width="11.453125" style="63" customWidth="1"/>
    <col min="273" max="273" width="30.1796875" style="63" customWidth="1"/>
    <col min="274" max="274" width="23.453125" style="63" bestFit="1" customWidth="1"/>
    <col min="275" max="275" width="17.54296875" style="63" bestFit="1" customWidth="1"/>
    <col min="276" max="509" width="11.453125" style="63"/>
    <col min="510" max="510" width="30.1796875" style="63" customWidth="1"/>
    <col min="511" max="511" width="35.26953125" style="63" customWidth="1"/>
    <col min="512" max="512" width="42.81640625" style="63" customWidth="1"/>
    <col min="513" max="513" width="41" style="63" customWidth="1"/>
    <col min="514" max="514" width="45" style="63" customWidth="1"/>
    <col min="515" max="515" width="21.7265625" style="63" customWidth="1"/>
    <col min="516" max="516" width="18.1796875" style="63" customWidth="1"/>
    <col min="517" max="517" width="18.54296875" style="63" customWidth="1"/>
    <col min="518" max="518" width="15.7265625" style="63" customWidth="1"/>
    <col min="519" max="519" width="29.1796875" style="63" customWidth="1"/>
    <col min="520" max="520" width="34.26953125" style="63" customWidth="1"/>
    <col min="521" max="523" width="0" style="63" hidden="1" customWidth="1"/>
    <col min="524" max="526" width="25.81640625" style="63" customWidth="1"/>
    <col min="527" max="527" width="19.453125" style="63" customWidth="1"/>
    <col min="528" max="528" width="11.453125" style="63" customWidth="1"/>
    <col min="529" max="529" width="30.1796875" style="63" customWidth="1"/>
    <col min="530" max="530" width="23.453125" style="63" bestFit="1" customWidth="1"/>
    <col min="531" max="531" width="17.54296875" style="63" bestFit="1" customWidth="1"/>
    <col min="532" max="765" width="11.453125" style="63"/>
    <col min="766" max="766" width="30.1796875" style="63" customWidth="1"/>
    <col min="767" max="767" width="35.26953125" style="63" customWidth="1"/>
    <col min="768" max="768" width="42.81640625" style="63" customWidth="1"/>
    <col min="769" max="769" width="41" style="63" customWidth="1"/>
    <col min="770" max="770" width="45" style="63" customWidth="1"/>
    <col min="771" max="771" width="21.7265625" style="63" customWidth="1"/>
    <col min="772" max="772" width="18.1796875" style="63" customWidth="1"/>
    <col min="773" max="773" width="18.54296875" style="63" customWidth="1"/>
    <col min="774" max="774" width="15.7265625" style="63" customWidth="1"/>
    <col min="775" max="775" width="29.1796875" style="63" customWidth="1"/>
    <col min="776" max="776" width="34.26953125" style="63" customWidth="1"/>
    <col min="777" max="779" width="0" style="63" hidden="1" customWidth="1"/>
    <col min="780" max="782" width="25.81640625" style="63" customWidth="1"/>
    <col min="783" max="783" width="19.453125" style="63" customWidth="1"/>
    <col min="784" max="784" width="11.453125" style="63" customWidth="1"/>
    <col min="785" max="785" width="30.1796875" style="63" customWidth="1"/>
    <col min="786" max="786" width="23.453125" style="63" bestFit="1" customWidth="1"/>
    <col min="787" max="787" width="17.54296875" style="63" bestFit="1" customWidth="1"/>
    <col min="788" max="1021" width="11.453125" style="63"/>
    <col min="1022" max="1022" width="30.1796875" style="63" customWidth="1"/>
    <col min="1023" max="1023" width="35.26953125" style="63" customWidth="1"/>
    <col min="1024" max="1024" width="42.81640625" style="63" customWidth="1"/>
    <col min="1025" max="1025" width="41" style="63" customWidth="1"/>
    <col min="1026" max="1026" width="45" style="63" customWidth="1"/>
    <col min="1027" max="1027" width="21.7265625" style="63" customWidth="1"/>
    <col min="1028" max="1028" width="18.1796875" style="63" customWidth="1"/>
    <col min="1029" max="1029" width="18.54296875" style="63" customWidth="1"/>
    <col min="1030" max="1030" width="15.7265625" style="63" customWidth="1"/>
    <col min="1031" max="1031" width="29.1796875" style="63" customWidth="1"/>
    <col min="1032" max="1032" width="34.26953125" style="63" customWidth="1"/>
    <col min="1033" max="1035" width="0" style="63" hidden="1" customWidth="1"/>
    <col min="1036" max="1038" width="25.81640625" style="63" customWidth="1"/>
    <col min="1039" max="1039" width="19.453125" style="63" customWidth="1"/>
    <col min="1040" max="1040" width="11.453125" style="63" customWidth="1"/>
    <col min="1041" max="1041" width="30.1796875" style="63" customWidth="1"/>
    <col min="1042" max="1042" width="23.453125" style="63" bestFit="1" customWidth="1"/>
    <col min="1043" max="1043" width="17.54296875" style="63" bestFit="1" customWidth="1"/>
    <col min="1044" max="1277" width="11.453125" style="63"/>
    <col min="1278" max="1278" width="30.1796875" style="63" customWidth="1"/>
    <col min="1279" max="1279" width="35.26953125" style="63" customWidth="1"/>
    <col min="1280" max="1280" width="42.81640625" style="63" customWidth="1"/>
    <col min="1281" max="1281" width="41" style="63" customWidth="1"/>
    <col min="1282" max="1282" width="45" style="63" customWidth="1"/>
    <col min="1283" max="1283" width="21.7265625" style="63" customWidth="1"/>
    <col min="1284" max="1284" width="18.1796875" style="63" customWidth="1"/>
    <col min="1285" max="1285" width="18.54296875" style="63" customWidth="1"/>
    <col min="1286" max="1286" width="15.7265625" style="63" customWidth="1"/>
    <col min="1287" max="1287" width="29.1796875" style="63" customWidth="1"/>
    <col min="1288" max="1288" width="34.26953125" style="63" customWidth="1"/>
    <col min="1289" max="1291" width="0" style="63" hidden="1" customWidth="1"/>
    <col min="1292" max="1294" width="25.81640625" style="63" customWidth="1"/>
    <col min="1295" max="1295" width="19.453125" style="63" customWidth="1"/>
    <col min="1296" max="1296" width="11.453125" style="63" customWidth="1"/>
    <col min="1297" max="1297" width="30.1796875" style="63" customWidth="1"/>
    <col min="1298" max="1298" width="23.453125" style="63" bestFit="1" customWidth="1"/>
    <col min="1299" max="1299" width="17.54296875" style="63" bestFit="1" customWidth="1"/>
    <col min="1300" max="1533" width="11.453125" style="63"/>
    <col min="1534" max="1534" width="30.1796875" style="63" customWidth="1"/>
    <col min="1535" max="1535" width="35.26953125" style="63" customWidth="1"/>
    <col min="1536" max="1536" width="42.81640625" style="63" customWidth="1"/>
    <col min="1537" max="1537" width="41" style="63" customWidth="1"/>
    <col min="1538" max="1538" width="45" style="63" customWidth="1"/>
    <col min="1539" max="1539" width="21.7265625" style="63" customWidth="1"/>
    <col min="1540" max="1540" width="18.1796875" style="63" customWidth="1"/>
    <col min="1541" max="1541" width="18.54296875" style="63" customWidth="1"/>
    <col min="1542" max="1542" width="15.7265625" style="63" customWidth="1"/>
    <col min="1543" max="1543" width="29.1796875" style="63" customWidth="1"/>
    <col min="1544" max="1544" width="34.26953125" style="63" customWidth="1"/>
    <col min="1545" max="1547" width="0" style="63" hidden="1" customWidth="1"/>
    <col min="1548" max="1550" width="25.81640625" style="63" customWidth="1"/>
    <col min="1551" max="1551" width="19.453125" style="63" customWidth="1"/>
    <col min="1552" max="1552" width="11.453125" style="63" customWidth="1"/>
    <col min="1553" max="1553" width="30.1796875" style="63" customWidth="1"/>
    <col min="1554" max="1554" width="23.453125" style="63" bestFit="1" customWidth="1"/>
    <col min="1555" max="1555" width="17.54296875" style="63" bestFit="1" customWidth="1"/>
    <col min="1556" max="1789" width="11.453125" style="63"/>
    <col min="1790" max="1790" width="30.1796875" style="63" customWidth="1"/>
    <col min="1791" max="1791" width="35.26953125" style="63" customWidth="1"/>
    <col min="1792" max="1792" width="42.81640625" style="63" customWidth="1"/>
    <col min="1793" max="1793" width="41" style="63" customWidth="1"/>
    <col min="1794" max="1794" width="45" style="63" customWidth="1"/>
    <col min="1795" max="1795" width="21.7265625" style="63" customWidth="1"/>
    <col min="1796" max="1796" width="18.1796875" style="63" customWidth="1"/>
    <col min="1797" max="1797" width="18.54296875" style="63" customWidth="1"/>
    <col min="1798" max="1798" width="15.7265625" style="63" customWidth="1"/>
    <col min="1799" max="1799" width="29.1796875" style="63" customWidth="1"/>
    <col min="1800" max="1800" width="34.26953125" style="63" customWidth="1"/>
    <col min="1801" max="1803" width="0" style="63" hidden="1" customWidth="1"/>
    <col min="1804" max="1806" width="25.81640625" style="63" customWidth="1"/>
    <col min="1807" max="1807" width="19.453125" style="63" customWidth="1"/>
    <col min="1808" max="1808" width="11.453125" style="63" customWidth="1"/>
    <col min="1809" max="1809" width="30.1796875" style="63" customWidth="1"/>
    <col min="1810" max="1810" width="23.453125" style="63" bestFit="1" customWidth="1"/>
    <col min="1811" max="1811" width="17.54296875" style="63" bestFit="1" customWidth="1"/>
    <col min="1812" max="2045" width="11.453125" style="63"/>
    <col min="2046" max="2046" width="30.1796875" style="63" customWidth="1"/>
    <col min="2047" max="2047" width="35.26953125" style="63" customWidth="1"/>
    <col min="2048" max="2048" width="42.81640625" style="63" customWidth="1"/>
    <col min="2049" max="2049" width="41" style="63" customWidth="1"/>
    <col min="2050" max="2050" width="45" style="63" customWidth="1"/>
    <col min="2051" max="2051" width="21.7265625" style="63" customWidth="1"/>
    <col min="2052" max="2052" width="18.1796875" style="63" customWidth="1"/>
    <col min="2053" max="2053" width="18.54296875" style="63" customWidth="1"/>
    <col min="2054" max="2054" width="15.7265625" style="63" customWidth="1"/>
    <col min="2055" max="2055" width="29.1796875" style="63" customWidth="1"/>
    <col min="2056" max="2056" width="34.26953125" style="63" customWidth="1"/>
    <col min="2057" max="2059" width="0" style="63" hidden="1" customWidth="1"/>
    <col min="2060" max="2062" width="25.81640625" style="63" customWidth="1"/>
    <col min="2063" max="2063" width="19.453125" style="63" customWidth="1"/>
    <col min="2064" max="2064" width="11.453125" style="63" customWidth="1"/>
    <col min="2065" max="2065" width="30.1796875" style="63" customWidth="1"/>
    <col min="2066" max="2066" width="23.453125" style="63" bestFit="1" customWidth="1"/>
    <col min="2067" max="2067" width="17.54296875" style="63" bestFit="1" customWidth="1"/>
    <col min="2068" max="2301" width="11.453125" style="63"/>
    <col min="2302" max="2302" width="30.1796875" style="63" customWidth="1"/>
    <col min="2303" max="2303" width="35.26953125" style="63" customWidth="1"/>
    <col min="2304" max="2304" width="42.81640625" style="63" customWidth="1"/>
    <col min="2305" max="2305" width="41" style="63" customWidth="1"/>
    <col min="2306" max="2306" width="45" style="63" customWidth="1"/>
    <col min="2307" max="2307" width="21.7265625" style="63" customWidth="1"/>
    <col min="2308" max="2308" width="18.1796875" style="63" customWidth="1"/>
    <col min="2309" max="2309" width="18.54296875" style="63" customWidth="1"/>
    <col min="2310" max="2310" width="15.7265625" style="63" customWidth="1"/>
    <col min="2311" max="2311" width="29.1796875" style="63" customWidth="1"/>
    <col min="2312" max="2312" width="34.26953125" style="63" customWidth="1"/>
    <col min="2313" max="2315" width="0" style="63" hidden="1" customWidth="1"/>
    <col min="2316" max="2318" width="25.81640625" style="63" customWidth="1"/>
    <col min="2319" max="2319" width="19.453125" style="63" customWidth="1"/>
    <col min="2320" max="2320" width="11.453125" style="63" customWidth="1"/>
    <col min="2321" max="2321" width="30.1796875" style="63" customWidth="1"/>
    <col min="2322" max="2322" width="23.453125" style="63" bestFit="1" customWidth="1"/>
    <col min="2323" max="2323" width="17.54296875" style="63" bestFit="1" customWidth="1"/>
    <col min="2324" max="2557" width="11.453125" style="63"/>
    <col min="2558" max="2558" width="30.1796875" style="63" customWidth="1"/>
    <col min="2559" max="2559" width="35.26953125" style="63" customWidth="1"/>
    <col min="2560" max="2560" width="42.81640625" style="63" customWidth="1"/>
    <col min="2561" max="2561" width="41" style="63" customWidth="1"/>
    <col min="2562" max="2562" width="45" style="63" customWidth="1"/>
    <col min="2563" max="2563" width="21.7265625" style="63" customWidth="1"/>
    <col min="2564" max="2564" width="18.1796875" style="63" customWidth="1"/>
    <col min="2565" max="2565" width="18.54296875" style="63" customWidth="1"/>
    <col min="2566" max="2566" width="15.7265625" style="63" customWidth="1"/>
    <col min="2567" max="2567" width="29.1796875" style="63" customWidth="1"/>
    <col min="2568" max="2568" width="34.26953125" style="63" customWidth="1"/>
    <col min="2569" max="2571" width="0" style="63" hidden="1" customWidth="1"/>
    <col min="2572" max="2574" width="25.81640625" style="63" customWidth="1"/>
    <col min="2575" max="2575" width="19.453125" style="63" customWidth="1"/>
    <col min="2576" max="2576" width="11.453125" style="63" customWidth="1"/>
    <col min="2577" max="2577" width="30.1796875" style="63" customWidth="1"/>
    <col min="2578" max="2578" width="23.453125" style="63" bestFit="1" customWidth="1"/>
    <col min="2579" max="2579" width="17.54296875" style="63" bestFit="1" customWidth="1"/>
    <col min="2580" max="2813" width="11.453125" style="63"/>
    <col min="2814" max="2814" width="30.1796875" style="63" customWidth="1"/>
    <col min="2815" max="2815" width="35.26953125" style="63" customWidth="1"/>
    <col min="2816" max="2816" width="42.81640625" style="63" customWidth="1"/>
    <col min="2817" max="2817" width="41" style="63" customWidth="1"/>
    <col min="2818" max="2818" width="45" style="63" customWidth="1"/>
    <col min="2819" max="2819" width="21.7265625" style="63" customWidth="1"/>
    <col min="2820" max="2820" width="18.1796875" style="63" customWidth="1"/>
    <col min="2821" max="2821" width="18.54296875" style="63" customWidth="1"/>
    <col min="2822" max="2822" width="15.7265625" style="63" customWidth="1"/>
    <col min="2823" max="2823" width="29.1796875" style="63" customWidth="1"/>
    <col min="2824" max="2824" width="34.26953125" style="63" customWidth="1"/>
    <col min="2825" max="2827" width="0" style="63" hidden="1" customWidth="1"/>
    <col min="2828" max="2830" width="25.81640625" style="63" customWidth="1"/>
    <col min="2831" max="2831" width="19.453125" style="63" customWidth="1"/>
    <col min="2832" max="2832" width="11.453125" style="63" customWidth="1"/>
    <col min="2833" max="2833" width="30.1796875" style="63" customWidth="1"/>
    <col min="2834" max="2834" width="23.453125" style="63" bestFit="1" customWidth="1"/>
    <col min="2835" max="2835" width="17.54296875" style="63" bestFit="1" customWidth="1"/>
    <col min="2836" max="3069" width="11.453125" style="63"/>
    <col min="3070" max="3070" width="30.1796875" style="63" customWidth="1"/>
    <col min="3071" max="3071" width="35.26953125" style="63" customWidth="1"/>
    <col min="3072" max="3072" width="42.81640625" style="63" customWidth="1"/>
    <col min="3073" max="3073" width="41" style="63" customWidth="1"/>
    <col min="3074" max="3074" width="45" style="63" customWidth="1"/>
    <col min="3075" max="3075" width="21.7265625" style="63" customWidth="1"/>
    <col min="3076" max="3076" width="18.1796875" style="63" customWidth="1"/>
    <col min="3077" max="3077" width="18.54296875" style="63" customWidth="1"/>
    <col min="3078" max="3078" width="15.7265625" style="63" customWidth="1"/>
    <col min="3079" max="3079" width="29.1796875" style="63" customWidth="1"/>
    <col min="3080" max="3080" width="34.26953125" style="63" customWidth="1"/>
    <col min="3081" max="3083" width="0" style="63" hidden="1" customWidth="1"/>
    <col min="3084" max="3086" width="25.81640625" style="63" customWidth="1"/>
    <col min="3087" max="3087" width="19.453125" style="63" customWidth="1"/>
    <col min="3088" max="3088" width="11.453125" style="63" customWidth="1"/>
    <col min="3089" max="3089" width="30.1796875" style="63" customWidth="1"/>
    <col min="3090" max="3090" width="23.453125" style="63" bestFit="1" customWidth="1"/>
    <col min="3091" max="3091" width="17.54296875" style="63" bestFit="1" customWidth="1"/>
    <col min="3092" max="3325" width="11.453125" style="63"/>
    <col min="3326" max="3326" width="30.1796875" style="63" customWidth="1"/>
    <col min="3327" max="3327" width="35.26953125" style="63" customWidth="1"/>
    <col min="3328" max="3328" width="42.81640625" style="63" customWidth="1"/>
    <col min="3329" max="3329" width="41" style="63" customWidth="1"/>
    <col min="3330" max="3330" width="45" style="63" customWidth="1"/>
    <col min="3331" max="3331" width="21.7265625" style="63" customWidth="1"/>
    <col min="3332" max="3332" width="18.1796875" style="63" customWidth="1"/>
    <col min="3333" max="3333" width="18.54296875" style="63" customWidth="1"/>
    <col min="3334" max="3334" width="15.7265625" style="63" customWidth="1"/>
    <col min="3335" max="3335" width="29.1796875" style="63" customWidth="1"/>
    <col min="3336" max="3336" width="34.26953125" style="63" customWidth="1"/>
    <col min="3337" max="3339" width="0" style="63" hidden="1" customWidth="1"/>
    <col min="3340" max="3342" width="25.81640625" style="63" customWidth="1"/>
    <col min="3343" max="3343" width="19.453125" style="63" customWidth="1"/>
    <col min="3344" max="3344" width="11.453125" style="63" customWidth="1"/>
    <col min="3345" max="3345" width="30.1796875" style="63" customWidth="1"/>
    <col min="3346" max="3346" width="23.453125" style="63" bestFit="1" customWidth="1"/>
    <col min="3347" max="3347" width="17.54296875" style="63" bestFit="1" customWidth="1"/>
    <col min="3348" max="3581" width="11.453125" style="63"/>
    <col min="3582" max="3582" width="30.1796875" style="63" customWidth="1"/>
    <col min="3583" max="3583" width="35.26953125" style="63" customWidth="1"/>
    <col min="3584" max="3584" width="42.81640625" style="63" customWidth="1"/>
    <col min="3585" max="3585" width="41" style="63" customWidth="1"/>
    <col min="3586" max="3586" width="45" style="63" customWidth="1"/>
    <col min="3587" max="3587" width="21.7265625" style="63" customWidth="1"/>
    <col min="3588" max="3588" width="18.1796875" style="63" customWidth="1"/>
    <col min="3589" max="3589" width="18.54296875" style="63" customWidth="1"/>
    <col min="3590" max="3590" width="15.7265625" style="63" customWidth="1"/>
    <col min="3591" max="3591" width="29.1796875" style="63" customWidth="1"/>
    <col min="3592" max="3592" width="34.26953125" style="63" customWidth="1"/>
    <col min="3593" max="3595" width="0" style="63" hidden="1" customWidth="1"/>
    <col min="3596" max="3598" width="25.81640625" style="63" customWidth="1"/>
    <col min="3599" max="3599" width="19.453125" style="63" customWidth="1"/>
    <col min="3600" max="3600" width="11.453125" style="63" customWidth="1"/>
    <col min="3601" max="3601" width="30.1796875" style="63" customWidth="1"/>
    <col min="3602" max="3602" width="23.453125" style="63" bestFit="1" customWidth="1"/>
    <col min="3603" max="3603" width="17.54296875" style="63" bestFit="1" customWidth="1"/>
    <col min="3604" max="3837" width="11.453125" style="63"/>
    <col min="3838" max="3838" width="30.1796875" style="63" customWidth="1"/>
    <col min="3839" max="3839" width="35.26953125" style="63" customWidth="1"/>
    <col min="3840" max="3840" width="42.81640625" style="63" customWidth="1"/>
    <col min="3841" max="3841" width="41" style="63" customWidth="1"/>
    <col min="3842" max="3842" width="45" style="63" customWidth="1"/>
    <col min="3843" max="3843" width="21.7265625" style="63" customWidth="1"/>
    <col min="3844" max="3844" width="18.1796875" style="63" customWidth="1"/>
    <col min="3845" max="3845" width="18.54296875" style="63" customWidth="1"/>
    <col min="3846" max="3846" width="15.7265625" style="63" customWidth="1"/>
    <col min="3847" max="3847" width="29.1796875" style="63" customWidth="1"/>
    <col min="3848" max="3848" width="34.26953125" style="63" customWidth="1"/>
    <col min="3849" max="3851" width="0" style="63" hidden="1" customWidth="1"/>
    <col min="3852" max="3854" width="25.81640625" style="63" customWidth="1"/>
    <col min="3855" max="3855" width="19.453125" style="63" customWidth="1"/>
    <col min="3856" max="3856" width="11.453125" style="63" customWidth="1"/>
    <col min="3857" max="3857" width="30.1796875" style="63" customWidth="1"/>
    <col min="3858" max="3858" width="23.453125" style="63" bestFit="1" customWidth="1"/>
    <col min="3859" max="3859" width="17.54296875" style="63" bestFit="1" customWidth="1"/>
    <col min="3860" max="4093" width="11.453125" style="63"/>
    <col min="4094" max="4094" width="30.1796875" style="63" customWidth="1"/>
    <col min="4095" max="4095" width="35.26953125" style="63" customWidth="1"/>
    <col min="4096" max="4096" width="42.81640625" style="63" customWidth="1"/>
    <col min="4097" max="4097" width="41" style="63" customWidth="1"/>
    <col min="4098" max="4098" width="45" style="63" customWidth="1"/>
    <col min="4099" max="4099" width="21.7265625" style="63" customWidth="1"/>
    <col min="4100" max="4100" width="18.1796875" style="63" customWidth="1"/>
    <col min="4101" max="4101" width="18.54296875" style="63" customWidth="1"/>
    <col min="4102" max="4102" width="15.7265625" style="63" customWidth="1"/>
    <col min="4103" max="4103" width="29.1796875" style="63" customWidth="1"/>
    <col min="4104" max="4104" width="34.26953125" style="63" customWidth="1"/>
    <col min="4105" max="4107" width="0" style="63" hidden="1" customWidth="1"/>
    <col min="4108" max="4110" width="25.81640625" style="63" customWidth="1"/>
    <col min="4111" max="4111" width="19.453125" style="63" customWidth="1"/>
    <col min="4112" max="4112" width="11.453125" style="63" customWidth="1"/>
    <col min="4113" max="4113" width="30.1796875" style="63" customWidth="1"/>
    <col min="4114" max="4114" width="23.453125" style="63" bestFit="1" customWidth="1"/>
    <col min="4115" max="4115" width="17.54296875" style="63" bestFit="1" customWidth="1"/>
    <col min="4116" max="4349" width="11.453125" style="63"/>
    <col min="4350" max="4350" width="30.1796875" style="63" customWidth="1"/>
    <col min="4351" max="4351" width="35.26953125" style="63" customWidth="1"/>
    <col min="4352" max="4352" width="42.81640625" style="63" customWidth="1"/>
    <col min="4353" max="4353" width="41" style="63" customWidth="1"/>
    <col min="4354" max="4354" width="45" style="63" customWidth="1"/>
    <col min="4355" max="4355" width="21.7265625" style="63" customWidth="1"/>
    <col min="4356" max="4356" width="18.1796875" style="63" customWidth="1"/>
    <col min="4357" max="4357" width="18.54296875" style="63" customWidth="1"/>
    <col min="4358" max="4358" width="15.7265625" style="63" customWidth="1"/>
    <col min="4359" max="4359" width="29.1796875" style="63" customWidth="1"/>
    <col min="4360" max="4360" width="34.26953125" style="63" customWidth="1"/>
    <col min="4361" max="4363" width="0" style="63" hidden="1" customWidth="1"/>
    <col min="4364" max="4366" width="25.81640625" style="63" customWidth="1"/>
    <col min="4367" max="4367" width="19.453125" style="63" customWidth="1"/>
    <col min="4368" max="4368" width="11.453125" style="63" customWidth="1"/>
    <col min="4369" max="4369" width="30.1796875" style="63" customWidth="1"/>
    <col min="4370" max="4370" width="23.453125" style="63" bestFit="1" customWidth="1"/>
    <col min="4371" max="4371" width="17.54296875" style="63" bestFit="1" customWidth="1"/>
    <col min="4372" max="4605" width="11.453125" style="63"/>
    <col min="4606" max="4606" width="30.1796875" style="63" customWidth="1"/>
    <col min="4607" max="4607" width="35.26953125" style="63" customWidth="1"/>
    <col min="4608" max="4608" width="42.81640625" style="63" customWidth="1"/>
    <col min="4609" max="4609" width="41" style="63" customWidth="1"/>
    <col min="4610" max="4610" width="45" style="63" customWidth="1"/>
    <col min="4611" max="4611" width="21.7265625" style="63" customWidth="1"/>
    <col min="4612" max="4612" width="18.1796875" style="63" customWidth="1"/>
    <col min="4613" max="4613" width="18.54296875" style="63" customWidth="1"/>
    <col min="4614" max="4614" width="15.7265625" style="63" customWidth="1"/>
    <col min="4615" max="4615" width="29.1796875" style="63" customWidth="1"/>
    <col min="4616" max="4616" width="34.26953125" style="63" customWidth="1"/>
    <col min="4617" max="4619" width="0" style="63" hidden="1" customWidth="1"/>
    <col min="4620" max="4622" width="25.81640625" style="63" customWidth="1"/>
    <col min="4623" max="4623" width="19.453125" style="63" customWidth="1"/>
    <col min="4624" max="4624" width="11.453125" style="63" customWidth="1"/>
    <col min="4625" max="4625" width="30.1796875" style="63" customWidth="1"/>
    <col min="4626" max="4626" width="23.453125" style="63" bestFit="1" customWidth="1"/>
    <col min="4627" max="4627" width="17.54296875" style="63" bestFit="1" customWidth="1"/>
    <col min="4628" max="4861" width="11.453125" style="63"/>
    <col min="4862" max="4862" width="30.1796875" style="63" customWidth="1"/>
    <col min="4863" max="4863" width="35.26953125" style="63" customWidth="1"/>
    <col min="4864" max="4864" width="42.81640625" style="63" customWidth="1"/>
    <col min="4865" max="4865" width="41" style="63" customWidth="1"/>
    <col min="4866" max="4866" width="45" style="63" customWidth="1"/>
    <col min="4867" max="4867" width="21.7265625" style="63" customWidth="1"/>
    <col min="4868" max="4868" width="18.1796875" style="63" customWidth="1"/>
    <col min="4869" max="4869" width="18.54296875" style="63" customWidth="1"/>
    <col min="4870" max="4870" width="15.7265625" style="63" customWidth="1"/>
    <col min="4871" max="4871" width="29.1796875" style="63" customWidth="1"/>
    <col min="4872" max="4872" width="34.26953125" style="63" customWidth="1"/>
    <col min="4873" max="4875" width="0" style="63" hidden="1" customWidth="1"/>
    <col min="4876" max="4878" width="25.81640625" style="63" customWidth="1"/>
    <col min="4879" max="4879" width="19.453125" style="63" customWidth="1"/>
    <col min="4880" max="4880" width="11.453125" style="63" customWidth="1"/>
    <col min="4881" max="4881" width="30.1796875" style="63" customWidth="1"/>
    <col min="4882" max="4882" width="23.453125" style="63" bestFit="1" customWidth="1"/>
    <col min="4883" max="4883" width="17.54296875" style="63" bestFit="1" customWidth="1"/>
    <col min="4884" max="5117" width="11.453125" style="63"/>
    <col min="5118" max="5118" width="30.1796875" style="63" customWidth="1"/>
    <col min="5119" max="5119" width="35.26953125" style="63" customWidth="1"/>
    <col min="5120" max="5120" width="42.81640625" style="63" customWidth="1"/>
    <col min="5121" max="5121" width="41" style="63" customWidth="1"/>
    <col min="5122" max="5122" width="45" style="63" customWidth="1"/>
    <col min="5123" max="5123" width="21.7265625" style="63" customWidth="1"/>
    <col min="5124" max="5124" width="18.1796875" style="63" customWidth="1"/>
    <col min="5125" max="5125" width="18.54296875" style="63" customWidth="1"/>
    <col min="5126" max="5126" width="15.7265625" style="63" customWidth="1"/>
    <col min="5127" max="5127" width="29.1796875" style="63" customWidth="1"/>
    <col min="5128" max="5128" width="34.26953125" style="63" customWidth="1"/>
    <col min="5129" max="5131" width="0" style="63" hidden="1" customWidth="1"/>
    <col min="5132" max="5134" width="25.81640625" style="63" customWidth="1"/>
    <col min="5135" max="5135" width="19.453125" style="63" customWidth="1"/>
    <col min="5136" max="5136" width="11.453125" style="63" customWidth="1"/>
    <col min="5137" max="5137" width="30.1796875" style="63" customWidth="1"/>
    <col min="5138" max="5138" width="23.453125" style="63" bestFit="1" customWidth="1"/>
    <col min="5139" max="5139" width="17.54296875" style="63" bestFit="1" customWidth="1"/>
    <col min="5140" max="5373" width="11.453125" style="63"/>
    <col min="5374" max="5374" width="30.1796875" style="63" customWidth="1"/>
    <col min="5375" max="5375" width="35.26953125" style="63" customWidth="1"/>
    <col min="5376" max="5376" width="42.81640625" style="63" customWidth="1"/>
    <col min="5377" max="5377" width="41" style="63" customWidth="1"/>
    <col min="5378" max="5378" width="45" style="63" customWidth="1"/>
    <col min="5379" max="5379" width="21.7265625" style="63" customWidth="1"/>
    <col min="5380" max="5380" width="18.1796875" style="63" customWidth="1"/>
    <col min="5381" max="5381" width="18.54296875" style="63" customWidth="1"/>
    <col min="5382" max="5382" width="15.7265625" style="63" customWidth="1"/>
    <col min="5383" max="5383" width="29.1796875" style="63" customWidth="1"/>
    <col min="5384" max="5384" width="34.26953125" style="63" customWidth="1"/>
    <col min="5385" max="5387" width="0" style="63" hidden="1" customWidth="1"/>
    <col min="5388" max="5390" width="25.81640625" style="63" customWidth="1"/>
    <col min="5391" max="5391" width="19.453125" style="63" customWidth="1"/>
    <col min="5392" max="5392" width="11.453125" style="63" customWidth="1"/>
    <col min="5393" max="5393" width="30.1796875" style="63" customWidth="1"/>
    <col min="5394" max="5394" width="23.453125" style="63" bestFit="1" customWidth="1"/>
    <col min="5395" max="5395" width="17.54296875" style="63" bestFit="1" customWidth="1"/>
    <col min="5396" max="5629" width="11.453125" style="63"/>
    <col min="5630" max="5630" width="30.1796875" style="63" customWidth="1"/>
    <col min="5631" max="5631" width="35.26953125" style="63" customWidth="1"/>
    <col min="5632" max="5632" width="42.81640625" style="63" customWidth="1"/>
    <col min="5633" max="5633" width="41" style="63" customWidth="1"/>
    <col min="5634" max="5634" width="45" style="63" customWidth="1"/>
    <col min="5635" max="5635" width="21.7265625" style="63" customWidth="1"/>
    <col min="5636" max="5636" width="18.1796875" style="63" customWidth="1"/>
    <col min="5637" max="5637" width="18.54296875" style="63" customWidth="1"/>
    <col min="5638" max="5638" width="15.7265625" style="63" customWidth="1"/>
    <col min="5639" max="5639" width="29.1796875" style="63" customWidth="1"/>
    <col min="5640" max="5640" width="34.26953125" style="63" customWidth="1"/>
    <col min="5641" max="5643" width="0" style="63" hidden="1" customWidth="1"/>
    <col min="5644" max="5646" width="25.81640625" style="63" customWidth="1"/>
    <col min="5647" max="5647" width="19.453125" style="63" customWidth="1"/>
    <col min="5648" max="5648" width="11.453125" style="63" customWidth="1"/>
    <col min="5649" max="5649" width="30.1796875" style="63" customWidth="1"/>
    <col min="5650" max="5650" width="23.453125" style="63" bestFit="1" customWidth="1"/>
    <col min="5651" max="5651" width="17.54296875" style="63" bestFit="1" customWidth="1"/>
    <col min="5652" max="5885" width="11.453125" style="63"/>
    <col min="5886" max="5886" width="30.1796875" style="63" customWidth="1"/>
    <col min="5887" max="5887" width="35.26953125" style="63" customWidth="1"/>
    <col min="5888" max="5888" width="42.81640625" style="63" customWidth="1"/>
    <col min="5889" max="5889" width="41" style="63" customWidth="1"/>
    <col min="5890" max="5890" width="45" style="63" customWidth="1"/>
    <col min="5891" max="5891" width="21.7265625" style="63" customWidth="1"/>
    <col min="5892" max="5892" width="18.1796875" style="63" customWidth="1"/>
    <col min="5893" max="5893" width="18.54296875" style="63" customWidth="1"/>
    <col min="5894" max="5894" width="15.7265625" style="63" customWidth="1"/>
    <col min="5895" max="5895" width="29.1796875" style="63" customWidth="1"/>
    <col min="5896" max="5896" width="34.26953125" style="63" customWidth="1"/>
    <col min="5897" max="5899" width="0" style="63" hidden="1" customWidth="1"/>
    <col min="5900" max="5902" width="25.81640625" style="63" customWidth="1"/>
    <col min="5903" max="5903" width="19.453125" style="63" customWidth="1"/>
    <col min="5904" max="5904" width="11.453125" style="63" customWidth="1"/>
    <col min="5905" max="5905" width="30.1796875" style="63" customWidth="1"/>
    <col min="5906" max="5906" width="23.453125" style="63" bestFit="1" customWidth="1"/>
    <col min="5907" max="5907" width="17.54296875" style="63" bestFit="1" customWidth="1"/>
    <col min="5908" max="6141" width="11.453125" style="63"/>
    <col min="6142" max="6142" width="30.1796875" style="63" customWidth="1"/>
    <col min="6143" max="6143" width="35.26953125" style="63" customWidth="1"/>
    <col min="6144" max="6144" width="42.81640625" style="63" customWidth="1"/>
    <col min="6145" max="6145" width="41" style="63" customWidth="1"/>
    <col min="6146" max="6146" width="45" style="63" customWidth="1"/>
    <col min="6147" max="6147" width="21.7265625" style="63" customWidth="1"/>
    <col min="6148" max="6148" width="18.1796875" style="63" customWidth="1"/>
    <col min="6149" max="6149" width="18.54296875" style="63" customWidth="1"/>
    <col min="6150" max="6150" width="15.7265625" style="63" customWidth="1"/>
    <col min="6151" max="6151" width="29.1796875" style="63" customWidth="1"/>
    <col min="6152" max="6152" width="34.26953125" style="63" customWidth="1"/>
    <col min="6153" max="6155" width="0" style="63" hidden="1" customWidth="1"/>
    <col min="6156" max="6158" width="25.81640625" style="63" customWidth="1"/>
    <col min="6159" max="6159" width="19.453125" style="63" customWidth="1"/>
    <col min="6160" max="6160" width="11.453125" style="63" customWidth="1"/>
    <col min="6161" max="6161" width="30.1796875" style="63" customWidth="1"/>
    <col min="6162" max="6162" width="23.453125" style="63" bestFit="1" customWidth="1"/>
    <col min="6163" max="6163" width="17.54296875" style="63" bestFit="1" customWidth="1"/>
    <col min="6164" max="6397" width="11.453125" style="63"/>
    <col min="6398" max="6398" width="30.1796875" style="63" customWidth="1"/>
    <col min="6399" max="6399" width="35.26953125" style="63" customWidth="1"/>
    <col min="6400" max="6400" width="42.81640625" style="63" customWidth="1"/>
    <col min="6401" max="6401" width="41" style="63" customWidth="1"/>
    <col min="6402" max="6402" width="45" style="63" customWidth="1"/>
    <col min="6403" max="6403" width="21.7265625" style="63" customWidth="1"/>
    <col min="6404" max="6404" width="18.1796875" style="63" customWidth="1"/>
    <col min="6405" max="6405" width="18.54296875" style="63" customWidth="1"/>
    <col min="6406" max="6406" width="15.7265625" style="63" customWidth="1"/>
    <col min="6407" max="6407" width="29.1796875" style="63" customWidth="1"/>
    <col min="6408" max="6408" width="34.26953125" style="63" customWidth="1"/>
    <col min="6409" max="6411" width="0" style="63" hidden="1" customWidth="1"/>
    <col min="6412" max="6414" width="25.81640625" style="63" customWidth="1"/>
    <col min="6415" max="6415" width="19.453125" style="63" customWidth="1"/>
    <col min="6416" max="6416" width="11.453125" style="63" customWidth="1"/>
    <col min="6417" max="6417" width="30.1796875" style="63" customWidth="1"/>
    <col min="6418" max="6418" width="23.453125" style="63" bestFit="1" customWidth="1"/>
    <col min="6419" max="6419" width="17.54296875" style="63" bestFit="1" customWidth="1"/>
    <col min="6420" max="6653" width="11.453125" style="63"/>
    <col min="6654" max="6654" width="30.1796875" style="63" customWidth="1"/>
    <col min="6655" max="6655" width="35.26953125" style="63" customWidth="1"/>
    <col min="6656" max="6656" width="42.81640625" style="63" customWidth="1"/>
    <col min="6657" max="6657" width="41" style="63" customWidth="1"/>
    <col min="6658" max="6658" width="45" style="63" customWidth="1"/>
    <col min="6659" max="6659" width="21.7265625" style="63" customWidth="1"/>
    <col min="6660" max="6660" width="18.1796875" style="63" customWidth="1"/>
    <col min="6661" max="6661" width="18.54296875" style="63" customWidth="1"/>
    <col min="6662" max="6662" width="15.7265625" style="63" customWidth="1"/>
    <col min="6663" max="6663" width="29.1796875" style="63" customWidth="1"/>
    <col min="6664" max="6664" width="34.26953125" style="63" customWidth="1"/>
    <col min="6665" max="6667" width="0" style="63" hidden="1" customWidth="1"/>
    <col min="6668" max="6670" width="25.81640625" style="63" customWidth="1"/>
    <col min="6671" max="6671" width="19.453125" style="63" customWidth="1"/>
    <col min="6672" max="6672" width="11.453125" style="63" customWidth="1"/>
    <col min="6673" max="6673" width="30.1796875" style="63" customWidth="1"/>
    <col min="6674" max="6674" width="23.453125" style="63" bestFit="1" customWidth="1"/>
    <col min="6675" max="6675" width="17.54296875" style="63" bestFit="1" customWidth="1"/>
    <col min="6676" max="6909" width="11.453125" style="63"/>
    <col min="6910" max="6910" width="30.1796875" style="63" customWidth="1"/>
    <col min="6911" max="6911" width="35.26953125" style="63" customWidth="1"/>
    <col min="6912" max="6912" width="42.81640625" style="63" customWidth="1"/>
    <col min="6913" max="6913" width="41" style="63" customWidth="1"/>
    <col min="6914" max="6914" width="45" style="63" customWidth="1"/>
    <col min="6915" max="6915" width="21.7265625" style="63" customWidth="1"/>
    <col min="6916" max="6916" width="18.1796875" style="63" customWidth="1"/>
    <col min="6917" max="6917" width="18.54296875" style="63" customWidth="1"/>
    <col min="6918" max="6918" width="15.7265625" style="63" customWidth="1"/>
    <col min="6919" max="6919" width="29.1796875" style="63" customWidth="1"/>
    <col min="6920" max="6920" width="34.26953125" style="63" customWidth="1"/>
    <col min="6921" max="6923" width="0" style="63" hidden="1" customWidth="1"/>
    <col min="6924" max="6926" width="25.81640625" style="63" customWidth="1"/>
    <col min="6927" max="6927" width="19.453125" style="63" customWidth="1"/>
    <col min="6928" max="6928" width="11.453125" style="63" customWidth="1"/>
    <col min="6929" max="6929" width="30.1796875" style="63" customWidth="1"/>
    <col min="6930" max="6930" width="23.453125" style="63" bestFit="1" customWidth="1"/>
    <col min="6931" max="6931" width="17.54296875" style="63" bestFit="1" customWidth="1"/>
    <col min="6932" max="7165" width="11.453125" style="63"/>
    <col min="7166" max="7166" width="30.1796875" style="63" customWidth="1"/>
    <col min="7167" max="7167" width="35.26953125" style="63" customWidth="1"/>
    <col min="7168" max="7168" width="42.81640625" style="63" customWidth="1"/>
    <col min="7169" max="7169" width="41" style="63" customWidth="1"/>
    <col min="7170" max="7170" width="45" style="63" customWidth="1"/>
    <col min="7171" max="7171" width="21.7265625" style="63" customWidth="1"/>
    <col min="7172" max="7172" width="18.1796875" style="63" customWidth="1"/>
    <col min="7173" max="7173" width="18.54296875" style="63" customWidth="1"/>
    <col min="7174" max="7174" width="15.7265625" style="63" customWidth="1"/>
    <col min="7175" max="7175" width="29.1796875" style="63" customWidth="1"/>
    <col min="7176" max="7176" width="34.26953125" style="63" customWidth="1"/>
    <col min="7177" max="7179" width="0" style="63" hidden="1" customWidth="1"/>
    <col min="7180" max="7182" width="25.81640625" style="63" customWidth="1"/>
    <col min="7183" max="7183" width="19.453125" style="63" customWidth="1"/>
    <col min="7184" max="7184" width="11.453125" style="63" customWidth="1"/>
    <col min="7185" max="7185" width="30.1796875" style="63" customWidth="1"/>
    <col min="7186" max="7186" width="23.453125" style="63" bestFit="1" customWidth="1"/>
    <col min="7187" max="7187" width="17.54296875" style="63" bestFit="1" customWidth="1"/>
    <col min="7188" max="7421" width="11.453125" style="63"/>
    <col min="7422" max="7422" width="30.1796875" style="63" customWidth="1"/>
    <col min="7423" max="7423" width="35.26953125" style="63" customWidth="1"/>
    <col min="7424" max="7424" width="42.81640625" style="63" customWidth="1"/>
    <col min="7425" max="7425" width="41" style="63" customWidth="1"/>
    <col min="7426" max="7426" width="45" style="63" customWidth="1"/>
    <col min="7427" max="7427" width="21.7265625" style="63" customWidth="1"/>
    <col min="7428" max="7428" width="18.1796875" style="63" customWidth="1"/>
    <col min="7429" max="7429" width="18.54296875" style="63" customWidth="1"/>
    <col min="7430" max="7430" width="15.7265625" style="63" customWidth="1"/>
    <col min="7431" max="7431" width="29.1796875" style="63" customWidth="1"/>
    <col min="7432" max="7432" width="34.26953125" style="63" customWidth="1"/>
    <col min="7433" max="7435" width="0" style="63" hidden="1" customWidth="1"/>
    <col min="7436" max="7438" width="25.81640625" style="63" customWidth="1"/>
    <col min="7439" max="7439" width="19.453125" style="63" customWidth="1"/>
    <col min="7440" max="7440" width="11.453125" style="63" customWidth="1"/>
    <col min="7441" max="7441" width="30.1796875" style="63" customWidth="1"/>
    <col min="7442" max="7442" width="23.453125" style="63" bestFit="1" customWidth="1"/>
    <col min="7443" max="7443" width="17.54296875" style="63" bestFit="1" customWidth="1"/>
    <col min="7444" max="7677" width="11.453125" style="63"/>
    <col min="7678" max="7678" width="30.1796875" style="63" customWidth="1"/>
    <col min="7679" max="7679" width="35.26953125" style="63" customWidth="1"/>
    <col min="7680" max="7680" width="42.81640625" style="63" customWidth="1"/>
    <col min="7681" max="7681" width="41" style="63" customWidth="1"/>
    <col min="7682" max="7682" width="45" style="63" customWidth="1"/>
    <col min="7683" max="7683" width="21.7265625" style="63" customWidth="1"/>
    <col min="7684" max="7684" width="18.1796875" style="63" customWidth="1"/>
    <col min="7685" max="7685" width="18.54296875" style="63" customWidth="1"/>
    <col min="7686" max="7686" width="15.7265625" style="63" customWidth="1"/>
    <col min="7687" max="7687" width="29.1796875" style="63" customWidth="1"/>
    <col min="7688" max="7688" width="34.26953125" style="63" customWidth="1"/>
    <col min="7689" max="7691" width="0" style="63" hidden="1" customWidth="1"/>
    <col min="7692" max="7694" width="25.81640625" style="63" customWidth="1"/>
    <col min="7695" max="7695" width="19.453125" style="63" customWidth="1"/>
    <col min="7696" max="7696" width="11.453125" style="63" customWidth="1"/>
    <col min="7697" max="7697" width="30.1796875" style="63" customWidth="1"/>
    <col min="7698" max="7698" width="23.453125" style="63" bestFit="1" customWidth="1"/>
    <col min="7699" max="7699" width="17.54296875" style="63" bestFit="1" customWidth="1"/>
    <col min="7700" max="7933" width="11.453125" style="63"/>
    <col min="7934" max="7934" width="30.1796875" style="63" customWidth="1"/>
    <col min="7935" max="7935" width="35.26953125" style="63" customWidth="1"/>
    <col min="7936" max="7936" width="42.81640625" style="63" customWidth="1"/>
    <col min="7937" max="7937" width="41" style="63" customWidth="1"/>
    <col min="7938" max="7938" width="45" style="63" customWidth="1"/>
    <col min="7939" max="7939" width="21.7265625" style="63" customWidth="1"/>
    <col min="7940" max="7940" width="18.1796875" style="63" customWidth="1"/>
    <col min="7941" max="7941" width="18.54296875" style="63" customWidth="1"/>
    <col min="7942" max="7942" width="15.7265625" style="63" customWidth="1"/>
    <col min="7943" max="7943" width="29.1796875" style="63" customWidth="1"/>
    <col min="7944" max="7944" width="34.26953125" style="63" customWidth="1"/>
    <col min="7945" max="7947" width="0" style="63" hidden="1" customWidth="1"/>
    <col min="7948" max="7950" width="25.81640625" style="63" customWidth="1"/>
    <col min="7951" max="7951" width="19.453125" style="63" customWidth="1"/>
    <col min="7952" max="7952" width="11.453125" style="63" customWidth="1"/>
    <col min="7953" max="7953" width="30.1796875" style="63" customWidth="1"/>
    <col min="7954" max="7954" width="23.453125" style="63" bestFit="1" customWidth="1"/>
    <col min="7955" max="7955" width="17.54296875" style="63" bestFit="1" customWidth="1"/>
    <col min="7956" max="8189" width="11.453125" style="63"/>
    <col min="8190" max="8190" width="30.1796875" style="63" customWidth="1"/>
    <col min="8191" max="8191" width="35.26953125" style="63" customWidth="1"/>
    <col min="8192" max="8192" width="42.81640625" style="63" customWidth="1"/>
    <col min="8193" max="8193" width="41" style="63" customWidth="1"/>
    <col min="8194" max="8194" width="45" style="63" customWidth="1"/>
    <col min="8195" max="8195" width="21.7265625" style="63" customWidth="1"/>
    <col min="8196" max="8196" width="18.1796875" style="63" customWidth="1"/>
    <col min="8197" max="8197" width="18.54296875" style="63" customWidth="1"/>
    <col min="8198" max="8198" width="15.7265625" style="63" customWidth="1"/>
    <col min="8199" max="8199" width="29.1796875" style="63" customWidth="1"/>
    <col min="8200" max="8200" width="34.26953125" style="63" customWidth="1"/>
    <col min="8201" max="8203" width="0" style="63" hidden="1" customWidth="1"/>
    <col min="8204" max="8206" width="25.81640625" style="63" customWidth="1"/>
    <col min="8207" max="8207" width="19.453125" style="63" customWidth="1"/>
    <col min="8208" max="8208" width="11.453125" style="63" customWidth="1"/>
    <col min="8209" max="8209" width="30.1796875" style="63" customWidth="1"/>
    <col min="8210" max="8210" width="23.453125" style="63" bestFit="1" customWidth="1"/>
    <col min="8211" max="8211" width="17.54296875" style="63" bestFit="1" customWidth="1"/>
    <col min="8212" max="8445" width="11.453125" style="63"/>
    <col min="8446" max="8446" width="30.1796875" style="63" customWidth="1"/>
    <col min="8447" max="8447" width="35.26953125" style="63" customWidth="1"/>
    <col min="8448" max="8448" width="42.81640625" style="63" customWidth="1"/>
    <col min="8449" max="8449" width="41" style="63" customWidth="1"/>
    <col min="8450" max="8450" width="45" style="63" customWidth="1"/>
    <col min="8451" max="8451" width="21.7265625" style="63" customWidth="1"/>
    <col min="8452" max="8452" width="18.1796875" style="63" customWidth="1"/>
    <col min="8453" max="8453" width="18.54296875" style="63" customWidth="1"/>
    <col min="8454" max="8454" width="15.7265625" style="63" customWidth="1"/>
    <col min="8455" max="8455" width="29.1796875" style="63" customWidth="1"/>
    <col min="8456" max="8456" width="34.26953125" style="63" customWidth="1"/>
    <col min="8457" max="8459" width="0" style="63" hidden="1" customWidth="1"/>
    <col min="8460" max="8462" width="25.81640625" style="63" customWidth="1"/>
    <col min="8463" max="8463" width="19.453125" style="63" customWidth="1"/>
    <col min="8464" max="8464" width="11.453125" style="63" customWidth="1"/>
    <col min="8465" max="8465" width="30.1796875" style="63" customWidth="1"/>
    <col min="8466" max="8466" width="23.453125" style="63" bestFit="1" customWidth="1"/>
    <col min="8467" max="8467" width="17.54296875" style="63" bestFit="1" customWidth="1"/>
    <col min="8468" max="8701" width="11.453125" style="63"/>
    <col min="8702" max="8702" width="30.1796875" style="63" customWidth="1"/>
    <col min="8703" max="8703" width="35.26953125" style="63" customWidth="1"/>
    <col min="8704" max="8704" width="42.81640625" style="63" customWidth="1"/>
    <col min="8705" max="8705" width="41" style="63" customWidth="1"/>
    <col min="8706" max="8706" width="45" style="63" customWidth="1"/>
    <col min="8707" max="8707" width="21.7265625" style="63" customWidth="1"/>
    <col min="8708" max="8708" width="18.1796875" style="63" customWidth="1"/>
    <col min="8709" max="8709" width="18.54296875" style="63" customWidth="1"/>
    <col min="8710" max="8710" width="15.7265625" style="63" customWidth="1"/>
    <col min="8711" max="8711" width="29.1796875" style="63" customWidth="1"/>
    <col min="8712" max="8712" width="34.26953125" style="63" customWidth="1"/>
    <col min="8713" max="8715" width="0" style="63" hidden="1" customWidth="1"/>
    <col min="8716" max="8718" width="25.81640625" style="63" customWidth="1"/>
    <col min="8719" max="8719" width="19.453125" style="63" customWidth="1"/>
    <col min="8720" max="8720" width="11.453125" style="63" customWidth="1"/>
    <col min="8721" max="8721" width="30.1796875" style="63" customWidth="1"/>
    <col min="8722" max="8722" width="23.453125" style="63" bestFit="1" customWidth="1"/>
    <col min="8723" max="8723" width="17.54296875" style="63" bestFit="1" customWidth="1"/>
    <col min="8724" max="8957" width="11.453125" style="63"/>
    <col min="8958" max="8958" width="30.1796875" style="63" customWidth="1"/>
    <col min="8959" max="8959" width="35.26953125" style="63" customWidth="1"/>
    <col min="8960" max="8960" width="42.81640625" style="63" customWidth="1"/>
    <col min="8961" max="8961" width="41" style="63" customWidth="1"/>
    <col min="8962" max="8962" width="45" style="63" customWidth="1"/>
    <col min="8963" max="8963" width="21.7265625" style="63" customWidth="1"/>
    <col min="8964" max="8964" width="18.1796875" style="63" customWidth="1"/>
    <col min="8965" max="8965" width="18.54296875" style="63" customWidth="1"/>
    <col min="8966" max="8966" width="15.7265625" style="63" customWidth="1"/>
    <col min="8967" max="8967" width="29.1796875" style="63" customWidth="1"/>
    <col min="8968" max="8968" width="34.26953125" style="63" customWidth="1"/>
    <col min="8969" max="8971" width="0" style="63" hidden="1" customWidth="1"/>
    <col min="8972" max="8974" width="25.81640625" style="63" customWidth="1"/>
    <col min="8975" max="8975" width="19.453125" style="63" customWidth="1"/>
    <col min="8976" max="8976" width="11.453125" style="63" customWidth="1"/>
    <col min="8977" max="8977" width="30.1796875" style="63" customWidth="1"/>
    <col min="8978" max="8978" width="23.453125" style="63" bestFit="1" customWidth="1"/>
    <col min="8979" max="8979" width="17.54296875" style="63" bestFit="1" customWidth="1"/>
    <col min="8980" max="9213" width="11.453125" style="63"/>
    <col min="9214" max="9214" width="30.1796875" style="63" customWidth="1"/>
    <col min="9215" max="9215" width="35.26953125" style="63" customWidth="1"/>
    <col min="9216" max="9216" width="42.81640625" style="63" customWidth="1"/>
    <col min="9217" max="9217" width="41" style="63" customWidth="1"/>
    <col min="9218" max="9218" width="45" style="63" customWidth="1"/>
    <col min="9219" max="9219" width="21.7265625" style="63" customWidth="1"/>
    <col min="9220" max="9220" width="18.1796875" style="63" customWidth="1"/>
    <col min="9221" max="9221" width="18.54296875" style="63" customWidth="1"/>
    <col min="9222" max="9222" width="15.7265625" style="63" customWidth="1"/>
    <col min="9223" max="9223" width="29.1796875" style="63" customWidth="1"/>
    <col min="9224" max="9224" width="34.26953125" style="63" customWidth="1"/>
    <col min="9225" max="9227" width="0" style="63" hidden="1" customWidth="1"/>
    <col min="9228" max="9230" width="25.81640625" style="63" customWidth="1"/>
    <col min="9231" max="9231" width="19.453125" style="63" customWidth="1"/>
    <col min="9232" max="9232" width="11.453125" style="63" customWidth="1"/>
    <col min="9233" max="9233" width="30.1796875" style="63" customWidth="1"/>
    <col min="9234" max="9234" width="23.453125" style="63" bestFit="1" customWidth="1"/>
    <col min="9235" max="9235" width="17.54296875" style="63" bestFit="1" customWidth="1"/>
    <col min="9236" max="9469" width="11.453125" style="63"/>
    <col min="9470" max="9470" width="30.1796875" style="63" customWidth="1"/>
    <col min="9471" max="9471" width="35.26953125" style="63" customWidth="1"/>
    <col min="9472" max="9472" width="42.81640625" style="63" customWidth="1"/>
    <col min="9473" max="9473" width="41" style="63" customWidth="1"/>
    <col min="9474" max="9474" width="45" style="63" customWidth="1"/>
    <col min="9475" max="9475" width="21.7265625" style="63" customWidth="1"/>
    <col min="9476" max="9476" width="18.1796875" style="63" customWidth="1"/>
    <col min="9477" max="9477" width="18.54296875" style="63" customWidth="1"/>
    <col min="9478" max="9478" width="15.7265625" style="63" customWidth="1"/>
    <col min="9479" max="9479" width="29.1796875" style="63" customWidth="1"/>
    <col min="9480" max="9480" width="34.26953125" style="63" customWidth="1"/>
    <col min="9481" max="9483" width="0" style="63" hidden="1" customWidth="1"/>
    <col min="9484" max="9486" width="25.81640625" style="63" customWidth="1"/>
    <col min="9487" max="9487" width="19.453125" style="63" customWidth="1"/>
    <col min="9488" max="9488" width="11.453125" style="63" customWidth="1"/>
    <col min="9489" max="9489" width="30.1796875" style="63" customWidth="1"/>
    <col min="9490" max="9490" width="23.453125" style="63" bestFit="1" customWidth="1"/>
    <col min="9491" max="9491" width="17.54296875" style="63" bestFit="1" customWidth="1"/>
    <col min="9492" max="9725" width="11.453125" style="63"/>
    <col min="9726" max="9726" width="30.1796875" style="63" customWidth="1"/>
    <col min="9727" max="9727" width="35.26953125" style="63" customWidth="1"/>
    <col min="9728" max="9728" width="42.81640625" style="63" customWidth="1"/>
    <col min="9729" max="9729" width="41" style="63" customWidth="1"/>
    <col min="9730" max="9730" width="45" style="63" customWidth="1"/>
    <col min="9731" max="9731" width="21.7265625" style="63" customWidth="1"/>
    <col min="9732" max="9732" width="18.1796875" style="63" customWidth="1"/>
    <col min="9733" max="9733" width="18.54296875" style="63" customWidth="1"/>
    <col min="9734" max="9734" width="15.7265625" style="63" customWidth="1"/>
    <col min="9735" max="9735" width="29.1796875" style="63" customWidth="1"/>
    <col min="9736" max="9736" width="34.26953125" style="63" customWidth="1"/>
    <col min="9737" max="9739" width="0" style="63" hidden="1" customWidth="1"/>
    <col min="9740" max="9742" width="25.81640625" style="63" customWidth="1"/>
    <col min="9743" max="9743" width="19.453125" style="63" customWidth="1"/>
    <col min="9744" max="9744" width="11.453125" style="63" customWidth="1"/>
    <col min="9745" max="9745" width="30.1796875" style="63" customWidth="1"/>
    <col min="9746" max="9746" width="23.453125" style="63" bestFit="1" customWidth="1"/>
    <col min="9747" max="9747" width="17.54296875" style="63" bestFit="1" customWidth="1"/>
    <col min="9748" max="9981" width="11.453125" style="63"/>
    <col min="9982" max="9982" width="30.1796875" style="63" customWidth="1"/>
    <col min="9983" max="9983" width="35.26953125" style="63" customWidth="1"/>
    <col min="9984" max="9984" width="42.81640625" style="63" customWidth="1"/>
    <col min="9985" max="9985" width="41" style="63" customWidth="1"/>
    <col min="9986" max="9986" width="45" style="63" customWidth="1"/>
    <col min="9987" max="9987" width="21.7265625" style="63" customWidth="1"/>
    <col min="9988" max="9988" width="18.1796875" style="63" customWidth="1"/>
    <col min="9989" max="9989" width="18.54296875" style="63" customWidth="1"/>
    <col min="9990" max="9990" width="15.7265625" style="63" customWidth="1"/>
    <col min="9991" max="9991" width="29.1796875" style="63" customWidth="1"/>
    <col min="9992" max="9992" width="34.26953125" style="63" customWidth="1"/>
    <col min="9993" max="9995" width="0" style="63" hidden="1" customWidth="1"/>
    <col min="9996" max="9998" width="25.81640625" style="63" customWidth="1"/>
    <col min="9999" max="9999" width="19.453125" style="63" customWidth="1"/>
    <col min="10000" max="10000" width="11.453125" style="63" customWidth="1"/>
    <col min="10001" max="10001" width="30.1796875" style="63" customWidth="1"/>
    <col min="10002" max="10002" width="23.453125" style="63" bestFit="1" customWidth="1"/>
    <col min="10003" max="10003" width="17.54296875" style="63" bestFit="1" customWidth="1"/>
    <col min="10004" max="10237" width="11.453125" style="63"/>
    <col min="10238" max="10238" width="30.1796875" style="63" customWidth="1"/>
    <col min="10239" max="10239" width="35.26953125" style="63" customWidth="1"/>
    <col min="10240" max="10240" width="42.81640625" style="63" customWidth="1"/>
    <col min="10241" max="10241" width="41" style="63" customWidth="1"/>
    <col min="10242" max="10242" width="45" style="63" customWidth="1"/>
    <col min="10243" max="10243" width="21.7265625" style="63" customWidth="1"/>
    <col min="10244" max="10244" width="18.1796875" style="63" customWidth="1"/>
    <col min="10245" max="10245" width="18.54296875" style="63" customWidth="1"/>
    <col min="10246" max="10246" width="15.7265625" style="63" customWidth="1"/>
    <col min="10247" max="10247" width="29.1796875" style="63" customWidth="1"/>
    <col min="10248" max="10248" width="34.26953125" style="63" customWidth="1"/>
    <col min="10249" max="10251" width="0" style="63" hidden="1" customWidth="1"/>
    <col min="10252" max="10254" width="25.81640625" style="63" customWidth="1"/>
    <col min="10255" max="10255" width="19.453125" style="63" customWidth="1"/>
    <col min="10256" max="10256" width="11.453125" style="63" customWidth="1"/>
    <col min="10257" max="10257" width="30.1796875" style="63" customWidth="1"/>
    <col min="10258" max="10258" width="23.453125" style="63" bestFit="1" customWidth="1"/>
    <col min="10259" max="10259" width="17.54296875" style="63" bestFit="1" customWidth="1"/>
    <col min="10260" max="10493" width="11.453125" style="63"/>
    <col min="10494" max="10494" width="30.1796875" style="63" customWidth="1"/>
    <col min="10495" max="10495" width="35.26953125" style="63" customWidth="1"/>
    <col min="10496" max="10496" width="42.81640625" style="63" customWidth="1"/>
    <col min="10497" max="10497" width="41" style="63" customWidth="1"/>
    <col min="10498" max="10498" width="45" style="63" customWidth="1"/>
    <col min="10499" max="10499" width="21.7265625" style="63" customWidth="1"/>
    <col min="10500" max="10500" width="18.1796875" style="63" customWidth="1"/>
    <col min="10501" max="10501" width="18.54296875" style="63" customWidth="1"/>
    <col min="10502" max="10502" width="15.7265625" style="63" customWidth="1"/>
    <col min="10503" max="10503" width="29.1796875" style="63" customWidth="1"/>
    <col min="10504" max="10504" width="34.26953125" style="63" customWidth="1"/>
    <col min="10505" max="10507" width="0" style="63" hidden="1" customWidth="1"/>
    <col min="10508" max="10510" width="25.81640625" style="63" customWidth="1"/>
    <col min="10511" max="10511" width="19.453125" style="63" customWidth="1"/>
    <col min="10512" max="10512" width="11.453125" style="63" customWidth="1"/>
    <col min="10513" max="10513" width="30.1796875" style="63" customWidth="1"/>
    <col min="10514" max="10514" width="23.453125" style="63" bestFit="1" customWidth="1"/>
    <col min="10515" max="10515" width="17.54296875" style="63" bestFit="1" customWidth="1"/>
    <col min="10516" max="10749" width="11.453125" style="63"/>
    <col min="10750" max="10750" width="30.1796875" style="63" customWidth="1"/>
    <col min="10751" max="10751" width="35.26953125" style="63" customWidth="1"/>
    <col min="10752" max="10752" width="42.81640625" style="63" customWidth="1"/>
    <col min="10753" max="10753" width="41" style="63" customWidth="1"/>
    <col min="10754" max="10754" width="45" style="63" customWidth="1"/>
    <col min="10755" max="10755" width="21.7265625" style="63" customWidth="1"/>
    <col min="10756" max="10756" width="18.1796875" style="63" customWidth="1"/>
    <col min="10757" max="10757" width="18.54296875" style="63" customWidth="1"/>
    <col min="10758" max="10758" width="15.7265625" style="63" customWidth="1"/>
    <col min="10759" max="10759" width="29.1796875" style="63" customWidth="1"/>
    <col min="10760" max="10760" width="34.26953125" style="63" customWidth="1"/>
    <col min="10761" max="10763" width="0" style="63" hidden="1" customWidth="1"/>
    <col min="10764" max="10766" width="25.81640625" style="63" customWidth="1"/>
    <col min="10767" max="10767" width="19.453125" style="63" customWidth="1"/>
    <col min="10768" max="10768" width="11.453125" style="63" customWidth="1"/>
    <col min="10769" max="10769" width="30.1796875" style="63" customWidth="1"/>
    <col min="10770" max="10770" width="23.453125" style="63" bestFit="1" customWidth="1"/>
    <col min="10771" max="10771" width="17.54296875" style="63" bestFit="1" customWidth="1"/>
    <col min="10772" max="11005" width="11.453125" style="63"/>
    <col min="11006" max="11006" width="30.1796875" style="63" customWidth="1"/>
    <col min="11007" max="11007" width="35.26953125" style="63" customWidth="1"/>
    <col min="11008" max="11008" width="42.81640625" style="63" customWidth="1"/>
    <col min="11009" max="11009" width="41" style="63" customWidth="1"/>
    <col min="11010" max="11010" width="45" style="63" customWidth="1"/>
    <col min="11011" max="11011" width="21.7265625" style="63" customWidth="1"/>
    <col min="11012" max="11012" width="18.1796875" style="63" customWidth="1"/>
    <col min="11013" max="11013" width="18.54296875" style="63" customWidth="1"/>
    <col min="11014" max="11014" width="15.7265625" style="63" customWidth="1"/>
    <col min="11015" max="11015" width="29.1796875" style="63" customWidth="1"/>
    <col min="11016" max="11016" width="34.26953125" style="63" customWidth="1"/>
    <col min="11017" max="11019" width="0" style="63" hidden="1" customWidth="1"/>
    <col min="11020" max="11022" width="25.81640625" style="63" customWidth="1"/>
    <col min="11023" max="11023" width="19.453125" style="63" customWidth="1"/>
    <col min="11024" max="11024" width="11.453125" style="63" customWidth="1"/>
    <col min="11025" max="11025" width="30.1796875" style="63" customWidth="1"/>
    <col min="11026" max="11026" width="23.453125" style="63" bestFit="1" customWidth="1"/>
    <col min="11027" max="11027" width="17.54296875" style="63" bestFit="1" customWidth="1"/>
    <col min="11028" max="11261" width="11.453125" style="63"/>
    <col min="11262" max="11262" width="30.1796875" style="63" customWidth="1"/>
    <col min="11263" max="11263" width="35.26953125" style="63" customWidth="1"/>
    <col min="11264" max="11264" width="42.81640625" style="63" customWidth="1"/>
    <col min="11265" max="11265" width="41" style="63" customWidth="1"/>
    <col min="11266" max="11266" width="45" style="63" customWidth="1"/>
    <col min="11267" max="11267" width="21.7265625" style="63" customWidth="1"/>
    <col min="11268" max="11268" width="18.1796875" style="63" customWidth="1"/>
    <col min="11269" max="11269" width="18.54296875" style="63" customWidth="1"/>
    <col min="11270" max="11270" width="15.7265625" style="63" customWidth="1"/>
    <col min="11271" max="11271" width="29.1796875" style="63" customWidth="1"/>
    <col min="11272" max="11272" width="34.26953125" style="63" customWidth="1"/>
    <col min="11273" max="11275" width="0" style="63" hidden="1" customWidth="1"/>
    <col min="11276" max="11278" width="25.81640625" style="63" customWidth="1"/>
    <col min="11279" max="11279" width="19.453125" style="63" customWidth="1"/>
    <col min="11280" max="11280" width="11.453125" style="63" customWidth="1"/>
    <col min="11281" max="11281" width="30.1796875" style="63" customWidth="1"/>
    <col min="11282" max="11282" width="23.453125" style="63" bestFit="1" customWidth="1"/>
    <col min="11283" max="11283" width="17.54296875" style="63" bestFit="1" customWidth="1"/>
    <col min="11284" max="11517" width="11.453125" style="63"/>
    <col min="11518" max="11518" width="30.1796875" style="63" customWidth="1"/>
    <col min="11519" max="11519" width="35.26953125" style="63" customWidth="1"/>
    <col min="11520" max="11520" width="42.81640625" style="63" customWidth="1"/>
    <col min="11521" max="11521" width="41" style="63" customWidth="1"/>
    <col min="11522" max="11522" width="45" style="63" customWidth="1"/>
    <col min="11523" max="11523" width="21.7265625" style="63" customWidth="1"/>
    <col min="11524" max="11524" width="18.1796875" style="63" customWidth="1"/>
    <col min="11525" max="11525" width="18.54296875" style="63" customWidth="1"/>
    <col min="11526" max="11526" width="15.7265625" style="63" customWidth="1"/>
    <col min="11527" max="11527" width="29.1796875" style="63" customWidth="1"/>
    <col min="11528" max="11528" width="34.26953125" style="63" customWidth="1"/>
    <col min="11529" max="11531" width="0" style="63" hidden="1" customWidth="1"/>
    <col min="11532" max="11534" width="25.81640625" style="63" customWidth="1"/>
    <col min="11535" max="11535" width="19.453125" style="63" customWidth="1"/>
    <col min="11536" max="11536" width="11.453125" style="63" customWidth="1"/>
    <col min="11537" max="11537" width="30.1796875" style="63" customWidth="1"/>
    <col min="11538" max="11538" width="23.453125" style="63" bestFit="1" customWidth="1"/>
    <col min="11539" max="11539" width="17.54296875" style="63" bestFit="1" customWidth="1"/>
    <col min="11540" max="11773" width="11.453125" style="63"/>
    <col min="11774" max="11774" width="30.1796875" style="63" customWidth="1"/>
    <col min="11775" max="11775" width="35.26953125" style="63" customWidth="1"/>
    <col min="11776" max="11776" width="42.81640625" style="63" customWidth="1"/>
    <col min="11777" max="11777" width="41" style="63" customWidth="1"/>
    <col min="11778" max="11778" width="45" style="63" customWidth="1"/>
    <col min="11779" max="11779" width="21.7265625" style="63" customWidth="1"/>
    <col min="11780" max="11780" width="18.1796875" style="63" customWidth="1"/>
    <col min="11781" max="11781" width="18.54296875" style="63" customWidth="1"/>
    <col min="11782" max="11782" width="15.7265625" style="63" customWidth="1"/>
    <col min="11783" max="11783" width="29.1796875" style="63" customWidth="1"/>
    <col min="11784" max="11784" width="34.26953125" style="63" customWidth="1"/>
    <col min="11785" max="11787" width="0" style="63" hidden="1" customWidth="1"/>
    <col min="11788" max="11790" width="25.81640625" style="63" customWidth="1"/>
    <col min="11791" max="11791" width="19.453125" style="63" customWidth="1"/>
    <col min="11792" max="11792" width="11.453125" style="63" customWidth="1"/>
    <col min="11793" max="11793" width="30.1796875" style="63" customWidth="1"/>
    <col min="11794" max="11794" width="23.453125" style="63" bestFit="1" customWidth="1"/>
    <col min="11795" max="11795" width="17.54296875" style="63" bestFit="1" customWidth="1"/>
    <col min="11796" max="12029" width="11.453125" style="63"/>
    <col min="12030" max="12030" width="30.1796875" style="63" customWidth="1"/>
    <col min="12031" max="12031" width="35.26953125" style="63" customWidth="1"/>
    <col min="12032" max="12032" width="42.81640625" style="63" customWidth="1"/>
    <col min="12033" max="12033" width="41" style="63" customWidth="1"/>
    <col min="12034" max="12034" width="45" style="63" customWidth="1"/>
    <col min="12035" max="12035" width="21.7265625" style="63" customWidth="1"/>
    <col min="12036" max="12036" width="18.1796875" style="63" customWidth="1"/>
    <col min="12037" max="12037" width="18.54296875" style="63" customWidth="1"/>
    <col min="12038" max="12038" width="15.7265625" style="63" customWidth="1"/>
    <col min="12039" max="12039" width="29.1796875" style="63" customWidth="1"/>
    <col min="12040" max="12040" width="34.26953125" style="63" customWidth="1"/>
    <col min="12041" max="12043" width="0" style="63" hidden="1" customWidth="1"/>
    <col min="12044" max="12046" width="25.81640625" style="63" customWidth="1"/>
    <col min="12047" max="12047" width="19.453125" style="63" customWidth="1"/>
    <col min="12048" max="12048" width="11.453125" style="63" customWidth="1"/>
    <col min="12049" max="12049" width="30.1796875" style="63" customWidth="1"/>
    <col min="12050" max="12050" width="23.453125" style="63" bestFit="1" customWidth="1"/>
    <col min="12051" max="12051" width="17.54296875" style="63" bestFit="1" customWidth="1"/>
    <col min="12052" max="12285" width="11.453125" style="63"/>
    <col min="12286" max="12286" width="30.1796875" style="63" customWidth="1"/>
    <col min="12287" max="12287" width="35.26953125" style="63" customWidth="1"/>
    <col min="12288" max="12288" width="42.81640625" style="63" customWidth="1"/>
    <col min="12289" max="12289" width="41" style="63" customWidth="1"/>
    <col min="12290" max="12290" width="45" style="63" customWidth="1"/>
    <col min="12291" max="12291" width="21.7265625" style="63" customWidth="1"/>
    <col min="12292" max="12292" width="18.1796875" style="63" customWidth="1"/>
    <col min="12293" max="12293" width="18.54296875" style="63" customWidth="1"/>
    <col min="12294" max="12294" width="15.7265625" style="63" customWidth="1"/>
    <col min="12295" max="12295" width="29.1796875" style="63" customWidth="1"/>
    <col min="12296" max="12296" width="34.26953125" style="63" customWidth="1"/>
    <col min="12297" max="12299" width="0" style="63" hidden="1" customWidth="1"/>
    <col min="12300" max="12302" width="25.81640625" style="63" customWidth="1"/>
    <col min="12303" max="12303" width="19.453125" style="63" customWidth="1"/>
    <col min="12304" max="12304" width="11.453125" style="63" customWidth="1"/>
    <col min="12305" max="12305" width="30.1796875" style="63" customWidth="1"/>
    <col min="12306" max="12306" width="23.453125" style="63" bestFit="1" customWidth="1"/>
    <col min="12307" max="12307" width="17.54296875" style="63" bestFit="1" customWidth="1"/>
    <col min="12308" max="12541" width="11.453125" style="63"/>
    <col min="12542" max="12542" width="30.1796875" style="63" customWidth="1"/>
    <col min="12543" max="12543" width="35.26953125" style="63" customWidth="1"/>
    <col min="12544" max="12544" width="42.81640625" style="63" customWidth="1"/>
    <col min="12545" max="12545" width="41" style="63" customWidth="1"/>
    <col min="12546" max="12546" width="45" style="63" customWidth="1"/>
    <col min="12547" max="12547" width="21.7265625" style="63" customWidth="1"/>
    <col min="12548" max="12548" width="18.1796875" style="63" customWidth="1"/>
    <col min="12549" max="12549" width="18.54296875" style="63" customWidth="1"/>
    <col min="12550" max="12550" width="15.7265625" style="63" customWidth="1"/>
    <col min="12551" max="12551" width="29.1796875" style="63" customWidth="1"/>
    <col min="12552" max="12552" width="34.26953125" style="63" customWidth="1"/>
    <col min="12553" max="12555" width="0" style="63" hidden="1" customWidth="1"/>
    <col min="12556" max="12558" width="25.81640625" style="63" customWidth="1"/>
    <col min="12559" max="12559" width="19.453125" style="63" customWidth="1"/>
    <col min="12560" max="12560" width="11.453125" style="63" customWidth="1"/>
    <col min="12561" max="12561" width="30.1796875" style="63" customWidth="1"/>
    <col min="12562" max="12562" width="23.453125" style="63" bestFit="1" customWidth="1"/>
    <col min="12563" max="12563" width="17.54296875" style="63" bestFit="1" customWidth="1"/>
    <col min="12564" max="12797" width="11.453125" style="63"/>
    <col min="12798" max="12798" width="30.1796875" style="63" customWidth="1"/>
    <col min="12799" max="12799" width="35.26953125" style="63" customWidth="1"/>
    <col min="12800" max="12800" width="42.81640625" style="63" customWidth="1"/>
    <col min="12801" max="12801" width="41" style="63" customWidth="1"/>
    <col min="12802" max="12802" width="45" style="63" customWidth="1"/>
    <col min="12803" max="12803" width="21.7265625" style="63" customWidth="1"/>
    <col min="12804" max="12804" width="18.1796875" style="63" customWidth="1"/>
    <col min="12805" max="12805" width="18.54296875" style="63" customWidth="1"/>
    <col min="12806" max="12806" width="15.7265625" style="63" customWidth="1"/>
    <col min="12807" max="12807" width="29.1796875" style="63" customWidth="1"/>
    <col min="12808" max="12808" width="34.26953125" style="63" customWidth="1"/>
    <col min="12809" max="12811" width="0" style="63" hidden="1" customWidth="1"/>
    <col min="12812" max="12814" width="25.81640625" style="63" customWidth="1"/>
    <col min="12815" max="12815" width="19.453125" style="63" customWidth="1"/>
    <col min="12816" max="12816" width="11.453125" style="63" customWidth="1"/>
    <col min="12817" max="12817" width="30.1796875" style="63" customWidth="1"/>
    <col min="12818" max="12818" width="23.453125" style="63" bestFit="1" customWidth="1"/>
    <col min="12819" max="12819" width="17.54296875" style="63" bestFit="1" customWidth="1"/>
    <col min="12820" max="13053" width="11.453125" style="63"/>
    <col min="13054" max="13054" width="30.1796875" style="63" customWidth="1"/>
    <col min="13055" max="13055" width="35.26953125" style="63" customWidth="1"/>
    <col min="13056" max="13056" width="42.81640625" style="63" customWidth="1"/>
    <col min="13057" max="13057" width="41" style="63" customWidth="1"/>
    <col min="13058" max="13058" width="45" style="63" customWidth="1"/>
    <col min="13059" max="13059" width="21.7265625" style="63" customWidth="1"/>
    <col min="13060" max="13060" width="18.1796875" style="63" customWidth="1"/>
    <col min="13061" max="13061" width="18.54296875" style="63" customWidth="1"/>
    <col min="13062" max="13062" width="15.7265625" style="63" customWidth="1"/>
    <col min="13063" max="13063" width="29.1796875" style="63" customWidth="1"/>
    <col min="13064" max="13064" width="34.26953125" style="63" customWidth="1"/>
    <col min="13065" max="13067" width="0" style="63" hidden="1" customWidth="1"/>
    <col min="13068" max="13070" width="25.81640625" style="63" customWidth="1"/>
    <col min="13071" max="13071" width="19.453125" style="63" customWidth="1"/>
    <col min="13072" max="13072" width="11.453125" style="63" customWidth="1"/>
    <col min="13073" max="13073" width="30.1796875" style="63" customWidth="1"/>
    <col min="13074" max="13074" width="23.453125" style="63" bestFit="1" customWidth="1"/>
    <col min="13075" max="13075" width="17.54296875" style="63" bestFit="1" customWidth="1"/>
    <col min="13076" max="13309" width="11.453125" style="63"/>
    <col min="13310" max="13310" width="30.1796875" style="63" customWidth="1"/>
    <col min="13311" max="13311" width="35.26953125" style="63" customWidth="1"/>
    <col min="13312" max="13312" width="42.81640625" style="63" customWidth="1"/>
    <col min="13313" max="13313" width="41" style="63" customWidth="1"/>
    <col min="13314" max="13314" width="45" style="63" customWidth="1"/>
    <col min="13315" max="13315" width="21.7265625" style="63" customWidth="1"/>
    <col min="13316" max="13316" width="18.1796875" style="63" customWidth="1"/>
    <col min="13317" max="13317" width="18.54296875" style="63" customWidth="1"/>
    <col min="13318" max="13318" width="15.7265625" style="63" customWidth="1"/>
    <col min="13319" max="13319" width="29.1796875" style="63" customWidth="1"/>
    <col min="13320" max="13320" width="34.26953125" style="63" customWidth="1"/>
    <col min="13321" max="13323" width="0" style="63" hidden="1" customWidth="1"/>
    <col min="13324" max="13326" width="25.81640625" style="63" customWidth="1"/>
    <col min="13327" max="13327" width="19.453125" style="63" customWidth="1"/>
    <col min="13328" max="13328" width="11.453125" style="63" customWidth="1"/>
    <col min="13329" max="13329" width="30.1796875" style="63" customWidth="1"/>
    <col min="13330" max="13330" width="23.453125" style="63" bestFit="1" customWidth="1"/>
    <col min="13331" max="13331" width="17.54296875" style="63" bestFit="1" customWidth="1"/>
    <col min="13332" max="13565" width="11.453125" style="63"/>
    <col min="13566" max="13566" width="30.1796875" style="63" customWidth="1"/>
    <col min="13567" max="13567" width="35.26953125" style="63" customWidth="1"/>
    <col min="13568" max="13568" width="42.81640625" style="63" customWidth="1"/>
    <col min="13569" max="13569" width="41" style="63" customWidth="1"/>
    <col min="13570" max="13570" width="45" style="63" customWidth="1"/>
    <col min="13571" max="13571" width="21.7265625" style="63" customWidth="1"/>
    <col min="13572" max="13572" width="18.1796875" style="63" customWidth="1"/>
    <col min="13573" max="13573" width="18.54296875" style="63" customWidth="1"/>
    <col min="13574" max="13574" width="15.7265625" style="63" customWidth="1"/>
    <col min="13575" max="13575" width="29.1796875" style="63" customWidth="1"/>
    <col min="13576" max="13576" width="34.26953125" style="63" customWidth="1"/>
    <col min="13577" max="13579" width="0" style="63" hidden="1" customWidth="1"/>
    <col min="13580" max="13582" width="25.81640625" style="63" customWidth="1"/>
    <col min="13583" max="13583" width="19.453125" style="63" customWidth="1"/>
    <col min="13584" max="13584" width="11.453125" style="63" customWidth="1"/>
    <col min="13585" max="13585" width="30.1796875" style="63" customWidth="1"/>
    <col min="13586" max="13586" width="23.453125" style="63" bestFit="1" customWidth="1"/>
    <col min="13587" max="13587" width="17.54296875" style="63" bestFit="1" customWidth="1"/>
    <col min="13588" max="13821" width="11.453125" style="63"/>
    <col min="13822" max="13822" width="30.1796875" style="63" customWidth="1"/>
    <col min="13823" max="13823" width="35.26953125" style="63" customWidth="1"/>
    <col min="13824" max="13824" width="42.81640625" style="63" customWidth="1"/>
    <col min="13825" max="13825" width="41" style="63" customWidth="1"/>
    <col min="13826" max="13826" width="45" style="63" customWidth="1"/>
    <col min="13827" max="13827" width="21.7265625" style="63" customWidth="1"/>
    <col min="13828" max="13828" width="18.1796875" style="63" customWidth="1"/>
    <col min="13829" max="13829" width="18.54296875" style="63" customWidth="1"/>
    <col min="13830" max="13830" width="15.7265625" style="63" customWidth="1"/>
    <col min="13831" max="13831" width="29.1796875" style="63" customWidth="1"/>
    <col min="13832" max="13832" width="34.26953125" style="63" customWidth="1"/>
    <col min="13833" max="13835" width="0" style="63" hidden="1" customWidth="1"/>
    <col min="13836" max="13838" width="25.81640625" style="63" customWidth="1"/>
    <col min="13839" max="13839" width="19.453125" style="63" customWidth="1"/>
    <col min="13840" max="13840" width="11.453125" style="63" customWidth="1"/>
    <col min="13841" max="13841" width="30.1796875" style="63" customWidth="1"/>
    <col min="13842" max="13842" width="23.453125" style="63" bestFit="1" customWidth="1"/>
    <col min="13843" max="13843" width="17.54296875" style="63" bestFit="1" customWidth="1"/>
    <col min="13844" max="14077" width="11.453125" style="63"/>
    <col min="14078" max="14078" width="30.1796875" style="63" customWidth="1"/>
    <col min="14079" max="14079" width="35.26953125" style="63" customWidth="1"/>
    <col min="14080" max="14080" width="42.81640625" style="63" customWidth="1"/>
    <col min="14081" max="14081" width="41" style="63" customWidth="1"/>
    <col min="14082" max="14082" width="45" style="63" customWidth="1"/>
    <col min="14083" max="14083" width="21.7265625" style="63" customWidth="1"/>
    <col min="14084" max="14084" width="18.1796875" style="63" customWidth="1"/>
    <col min="14085" max="14085" width="18.54296875" style="63" customWidth="1"/>
    <col min="14086" max="14086" width="15.7265625" style="63" customWidth="1"/>
    <col min="14087" max="14087" width="29.1796875" style="63" customWidth="1"/>
    <col min="14088" max="14088" width="34.26953125" style="63" customWidth="1"/>
    <col min="14089" max="14091" width="0" style="63" hidden="1" customWidth="1"/>
    <col min="14092" max="14094" width="25.81640625" style="63" customWidth="1"/>
    <col min="14095" max="14095" width="19.453125" style="63" customWidth="1"/>
    <col min="14096" max="14096" width="11.453125" style="63" customWidth="1"/>
    <col min="14097" max="14097" width="30.1796875" style="63" customWidth="1"/>
    <col min="14098" max="14098" width="23.453125" style="63" bestFit="1" customWidth="1"/>
    <col min="14099" max="14099" width="17.54296875" style="63" bestFit="1" customWidth="1"/>
    <col min="14100" max="14333" width="11.453125" style="63"/>
    <col min="14334" max="14334" width="30.1796875" style="63" customWidth="1"/>
    <col min="14335" max="14335" width="35.26953125" style="63" customWidth="1"/>
    <col min="14336" max="14336" width="42.81640625" style="63" customWidth="1"/>
    <col min="14337" max="14337" width="41" style="63" customWidth="1"/>
    <col min="14338" max="14338" width="45" style="63" customWidth="1"/>
    <col min="14339" max="14339" width="21.7265625" style="63" customWidth="1"/>
    <col min="14340" max="14340" width="18.1796875" style="63" customWidth="1"/>
    <col min="14341" max="14341" width="18.54296875" style="63" customWidth="1"/>
    <col min="14342" max="14342" width="15.7265625" style="63" customWidth="1"/>
    <col min="14343" max="14343" width="29.1796875" style="63" customWidth="1"/>
    <col min="14344" max="14344" width="34.26953125" style="63" customWidth="1"/>
    <col min="14345" max="14347" width="0" style="63" hidden="1" customWidth="1"/>
    <col min="14348" max="14350" width="25.81640625" style="63" customWidth="1"/>
    <col min="14351" max="14351" width="19.453125" style="63" customWidth="1"/>
    <col min="14352" max="14352" width="11.453125" style="63" customWidth="1"/>
    <col min="14353" max="14353" width="30.1796875" style="63" customWidth="1"/>
    <col min="14354" max="14354" width="23.453125" style="63" bestFit="1" customWidth="1"/>
    <col min="14355" max="14355" width="17.54296875" style="63" bestFit="1" customWidth="1"/>
    <col min="14356" max="14589" width="11.453125" style="63"/>
    <col min="14590" max="14590" width="30.1796875" style="63" customWidth="1"/>
    <col min="14591" max="14591" width="35.26953125" style="63" customWidth="1"/>
    <col min="14592" max="14592" width="42.81640625" style="63" customWidth="1"/>
    <col min="14593" max="14593" width="41" style="63" customWidth="1"/>
    <col min="14594" max="14594" width="45" style="63" customWidth="1"/>
    <col min="14595" max="14595" width="21.7265625" style="63" customWidth="1"/>
    <col min="14596" max="14596" width="18.1796875" style="63" customWidth="1"/>
    <col min="14597" max="14597" width="18.54296875" style="63" customWidth="1"/>
    <col min="14598" max="14598" width="15.7265625" style="63" customWidth="1"/>
    <col min="14599" max="14599" width="29.1796875" style="63" customWidth="1"/>
    <col min="14600" max="14600" width="34.26953125" style="63" customWidth="1"/>
    <col min="14601" max="14603" width="0" style="63" hidden="1" customWidth="1"/>
    <col min="14604" max="14606" width="25.81640625" style="63" customWidth="1"/>
    <col min="14607" max="14607" width="19.453125" style="63" customWidth="1"/>
    <col min="14608" max="14608" width="11.453125" style="63" customWidth="1"/>
    <col min="14609" max="14609" width="30.1796875" style="63" customWidth="1"/>
    <col min="14610" max="14610" width="23.453125" style="63" bestFit="1" customWidth="1"/>
    <col min="14611" max="14611" width="17.54296875" style="63" bestFit="1" customWidth="1"/>
    <col min="14612" max="14845" width="11.453125" style="63"/>
    <col min="14846" max="14846" width="30.1796875" style="63" customWidth="1"/>
    <col min="14847" max="14847" width="35.26953125" style="63" customWidth="1"/>
    <col min="14848" max="14848" width="42.81640625" style="63" customWidth="1"/>
    <col min="14849" max="14849" width="41" style="63" customWidth="1"/>
    <col min="14850" max="14850" width="45" style="63" customWidth="1"/>
    <col min="14851" max="14851" width="21.7265625" style="63" customWidth="1"/>
    <col min="14852" max="14852" width="18.1796875" style="63" customWidth="1"/>
    <col min="14853" max="14853" width="18.54296875" style="63" customWidth="1"/>
    <col min="14854" max="14854" width="15.7265625" style="63" customWidth="1"/>
    <col min="14855" max="14855" width="29.1796875" style="63" customWidth="1"/>
    <col min="14856" max="14856" width="34.26953125" style="63" customWidth="1"/>
    <col min="14857" max="14859" width="0" style="63" hidden="1" customWidth="1"/>
    <col min="14860" max="14862" width="25.81640625" style="63" customWidth="1"/>
    <col min="14863" max="14863" width="19.453125" style="63" customWidth="1"/>
    <col min="14864" max="14864" width="11.453125" style="63" customWidth="1"/>
    <col min="14865" max="14865" width="30.1796875" style="63" customWidth="1"/>
    <col min="14866" max="14866" width="23.453125" style="63" bestFit="1" customWidth="1"/>
    <col min="14867" max="14867" width="17.54296875" style="63" bestFit="1" customWidth="1"/>
    <col min="14868" max="15101" width="11.453125" style="63"/>
    <col min="15102" max="15102" width="30.1796875" style="63" customWidth="1"/>
    <col min="15103" max="15103" width="35.26953125" style="63" customWidth="1"/>
    <col min="15104" max="15104" width="42.81640625" style="63" customWidth="1"/>
    <col min="15105" max="15105" width="41" style="63" customWidth="1"/>
    <col min="15106" max="15106" width="45" style="63" customWidth="1"/>
    <col min="15107" max="15107" width="21.7265625" style="63" customWidth="1"/>
    <col min="15108" max="15108" width="18.1796875" style="63" customWidth="1"/>
    <col min="15109" max="15109" width="18.54296875" style="63" customWidth="1"/>
    <col min="15110" max="15110" width="15.7265625" style="63" customWidth="1"/>
    <col min="15111" max="15111" width="29.1796875" style="63" customWidth="1"/>
    <col min="15112" max="15112" width="34.26953125" style="63" customWidth="1"/>
    <col min="15113" max="15115" width="0" style="63" hidden="1" customWidth="1"/>
    <col min="15116" max="15118" width="25.81640625" style="63" customWidth="1"/>
    <col min="15119" max="15119" width="19.453125" style="63" customWidth="1"/>
    <col min="15120" max="15120" width="11.453125" style="63" customWidth="1"/>
    <col min="15121" max="15121" width="30.1796875" style="63" customWidth="1"/>
    <col min="15122" max="15122" width="23.453125" style="63" bestFit="1" customWidth="1"/>
    <col min="15123" max="15123" width="17.54296875" style="63" bestFit="1" customWidth="1"/>
    <col min="15124" max="15357" width="11.453125" style="63"/>
    <col min="15358" max="15358" width="30.1796875" style="63" customWidth="1"/>
    <col min="15359" max="15359" width="35.26953125" style="63" customWidth="1"/>
    <col min="15360" max="15360" width="42.81640625" style="63" customWidth="1"/>
    <col min="15361" max="15361" width="41" style="63" customWidth="1"/>
    <col min="15362" max="15362" width="45" style="63" customWidth="1"/>
    <col min="15363" max="15363" width="21.7265625" style="63" customWidth="1"/>
    <col min="15364" max="15364" width="18.1796875" style="63" customWidth="1"/>
    <col min="15365" max="15365" width="18.54296875" style="63" customWidth="1"/>
    <col min="15366" max="15366" width="15.7265625" style="63" customWidth="1"/>
    <col min="15367" max="15367" width="29.1796875" style="63" customWidth="1"/>
    <col min="15368" max="15368" width="34.26953125" style="63" customWidth="1"/>
    <col min="15369" max="15371" width="0" style="63" hidden="1" customWidth="1"/>
    <col min="15372" max="15374" width="25.81640625" style="63" customWidth="1"/>
    <col min="15375" max="15375" width="19.453125" style="63" customWidth="1"/>
    <col min="15376" max="15376" width="11.453125" style="63" customWidth="1"/>
    <col min="15377" max="15377" width="30.1796875" style="63" customWidth="1"/>
    <col min="15378" max="15378" width="23.453125" style="63" bestFit="1" customWidth="1"/>
    <col min="15379" max="15379" width="17.54296875" style="63" bestFit="1" customWidth="1"/>
    <col min="15380" max="15613" width="11.453125" style="63"/>
    <col min="15614" max="15614" width="30.1796875" style="63" customWidth="1"/>
    <col min="15615" max="15615" width="35.26953125" style="63" customWidth="1"/>
    <col min="15616" max="15616" width="42.81640625" style="63" customWidth="1"/>
    <col min="15617" max="15617" width="41" style="63" customWidth="1"/>
    <col min="15618" max="15618" width="45" style="63" customWidth="1"/>
    <col min="15619" max="15619" width="21.7265625" style="63" customWidth="1"/>
    <col min="15620" max="15620" width="18.1796875" style="63" customWidth="1"/>
    <col min="15621" max="15621" width="18.54296875" style="63" customWidth="1"/>
    <col min="15622" max="15622" width="15.7265625" style="63" customWidth="1"/>
    <col min="15623" max="15623" width="29.1796875" style="63" customWidth="1"/>
    <col min="15624" max="15624" width="34.26953125" style="63" customWidth="1"/>
    <col min="15625" max="15627" width="0" style="63" hidden="1" customWidth="1"/>
    <col min="15628" max="15630" width="25.81640625" style="63" customWidth="1"/>
    <col min="15631" max="15631" width="19.453125" style="63" customWidth="1"/>
    <col min="15632" max="15632" width="11.453125" style="63" customWidth="1"/>
    <col min="15633" max="15633" width="30.1796875" style="63" customWidth="1"/>
    <col min="15634" max="15634" width="23.453125" style="63" bestFit="1" customWidth="1"/>
    <col min="15635" max="15635" width="17.54296875" style="63" bestFit="1" customWidth="1"/>
    <col min="15636" max="15869" width="11.453125" style="63"/>
    <col min="15870" max="15870" width="30.1796875" style="63" customWidth="1"/>
    <col min="15871" max="15871" width="35.26953125" style="63" customWidth="1"/>
    <col min="15872" max="15872" width="42.81640625" style="63" customWidth="1"/>
    <col min="15873" max="15873" width="41" style="63" customWidth="1"/>
    <col min="15874" max="15874" width="45" style="63" customWidth="1"/>
    <col min="15875" max="15875" width="21.7265625" style="63" customWidth="1"/>
    <col min="15876" max="15876" width="18.1796875" style="63" customWidth="1"/>
    <col min="15877" max="15877" width="18.54296875" style="63" customWidth="1"/>
    <col min="15878" max="15878" width="15.7265625" style="63" customWidth="1"/>
    <col min="15879" max="15879" width="29.1796875" style="63" customWidth="1"/>
    <col min="15880" max="15880" width="34.26953125" style="63" customWidth="1"/>
    <col min="15881" max="15883" width="0" style="63" hidden="1" customWidth="1"/>
    <col min="15884" max="15886" width="25.81640625" style="63" customWidth="1"/>
    <col min="15887" max="15887" width="19.453125" style="63" customWidth="1"/>
    <col min="15888" max="15888" width="11.453125" style="63" customWidth="1"/>
    <col min="15889" max="15889" width="30.1796875" style="63" customWidth="1"/>
    <col min="15890" max="15890" width="23.453125" style="63" bestFit="1" customWidth="1"/>
    <col min="15891" max="15891" width="17.54296875" style="63" bestFit="1" customWidth="1"/>
    <col min="15892" max="16125" width="11.453125" style="63"/>
    <col min="16126" max="16126" width="30.1796875" style="63" customWidth="1"/>
    <col min="16127" max="16127" width="35.26953125" style="63" customWidth="1"/>
    <col min="16128" max="16128" width="42.81640625" style="63" customWidth="1"/>
    <col min="16129" max="16129" width="41" style="63" customWidth="1"/>
    <col min="16130" max="16130" width="45" style="63" customWidth="1"/>
    <col min="16131" max="16131" width="21.7265625" style="63" customWidth="1"/>
    <col min="16132" max="16132" width="18.1796875" style="63" customWidth="1"/>
    <col min="16133" max="16133" width="18.54296875" style="63" customWidth="1"/>
    <col min="16134" max="16134" width="15.7265625" style="63" customWidth="1"/>
    <col min="16135" max="16135" width="29.1796875" style="63" customWidth="1"/>
    <col min="16136" max="16136" width="34.26953125" style="63" customWidth="1"/>
    <col min="16137" max="16139" width="0" style="63" hidden="1" customWidth="1"/>
    <col min="16140" max="16142" width="25.81640625" style="63" customWidth="1"/>
    <col min="16143" max="16143" width="19.453125" style="63" customWidth="1"/>
    <col min="16144" max="16144" width="11.453125" style="63" customWidth="1"/>
    <col min="16145" max="16145" width="30.1796875" style="63" customWidth="1"/>
    <col min="16146" max="16146" width="23.453125" style="63" bestFit="1" customWidth="1"/>
    <col min="16147" max="16147" width="17.54296875" style="63" bestFit="1" customWidth="1"/>
    <col min="16148" max="16384" width="11.453125" style="63"/>
  </cols>
  <sheetData>
    <row r="1" spans="1:22" customFormat="1" ht="16.5" customHeight="1" x14ac:dyDescent="0.35">
      <c r="A1" s="121" t="s">
        <v>96</v>
      </c>
      <c r="B1" s="122"/>
      <c r="C1" s="122"/>
      <c r="D1" s="23"/>
      <c r="E1" s="23"/>
      <c r="F1" s="23"/>
      <c r="G1" s="23"/>
      <c r="H1" s="23"/>
      <c r="I1" s="23"/>
      <c r="J1" s="23"/>
      <c r="K1" s="23"/>
      <c r="L1" s="23"/>
      <c r="M1" s="23"/>
      <c r="N1" s="23"/>
      <c r="O1" s="23"/>
      <c r="P1" s="23"/>
      <c r="Q1" s="23"/>
      <c r="R1" s="23"/>
      <c r="S1" s="23"/>
      <c r="T1" s="23"/>
      <c r="U1" s="23"/>
      <c r="V1" s="23"/>
    </row>
    <row r="2" spans="1:22" customFormat="1" ht="63" customHeight="1" x14ac:dyDescent="0.35">
      <c r="A2" s="123" t="s">
        <v>220</v>
      </c>
      <c r="B2" s="124"/>
      <c r="C2" s="125"/>
      <c r="D2" s="23"/>
      <c r="E2" s="23"/>
      <c r="F2" s="23"/>
      <c r="G2" s="23"/>
      <c r="H2" s="23"/>
      <c r="I2" s="23"/>
      <c r="J2" s="23"/>
      <c r="K2" s="23"/>
      <c r="L2" s="23"/>
      <c r="M2" s="23"/>
      <c r="N2" s="23"/>
      <c r="O2" s="23"/>
      <c r="P2" s="23"/>
      <c r="Q2" s="23"/>
      <c r="R2" s="23"/>
      <c r="S2" s="23"/>
      <c r="T2" s="23"/>
      <c r="U2" s="23"/>
      <c r="V2" s="23"/>
    </row>
    <row r="3" spans="1:22" customFormat="1" ht="79.5" customHeight="1" x14ac:dyDescent="0.35">
      <c r="A3" s="121"/>
      <c r="B3" s="122"/>
      <c r="C3" s="122"/>
      <c r="D3" s="23"/>
      <c r="E3" s="23"/>
      <c r="F3" s="23"/>
      <c r="G3" s="23"/>
      <c r="H3" s="23"/>
      <c r="I3" s="23"/>
      <c r="J3" s="23"/>
      <c r="K3" s="23"/>
      <c r="L3" s="23"/>
      <c r="M3" s="23"/>
      <c r="N3" s="23"/>
      <c r="O3" s="23"/>
      <c r="P3" s="23"/>
      <c r="Q3" s="23"/>
      <c r="R3" s="23"/>
      <c r="S3" s="23"/>
      <c r="T3" s="23"/>
      <c r="U3" s="23"/>
      <c r="V3" s="23"/>
    </row>
    <row r="4" spans="1:22" customFormat="1" ht="15" customHeight="1" x14ac:dyDescent="0.35">
      <c r="A4" s="119" t="s">
        <v>97</v>
      </c>
      <c r="B4" s="120"/>
      <c r="C4" s="120"/>
      <c r="D4" s="23"/>
      <c r="E4" s="23"/>
      <c r="F4" s="23"/>
      <c r="G4" s="23"/>
      <c r="H4" s="23"/>
      <c r="I4" s="23"/>
      <c r="J4" s="23"/>
      <c r="K4" s="23"/>
      <c r="L4" s="23"/>
      <c r="M4" s="23"/>
      <c r="N4" s="23"/>
      <c r="O4" s="23"/>
      <c r="P4" s="23"/>
      <c r="Q4" s="23"/>
      <c r="R4" s="23"/>
      <c r="S4" s="23"/>
      <c r="T4" s="23"/>
      <c r="U4" s="23"/>
      <c r="V4" s="23"/>
    </row>
    <row r="5" spans="1:22" customFormat="1" ht="60.75" customHeight="1" x14ac:dyDescent="0.35">
      <c r="A5" s="123" t="s">
        <v>98</v>
      </c>
      <c r="B5" s="124"/>
      <c r="C5" s="125"/>
      <c r="D5" s="23"/>
      <c r="E5" s="23"/>
      <c r="F5" s="23"/>
      <c r="G5" s="23"/>
      <c r="H5" s="23"/>
      <c r="I5" s="23"/>
      <c r="J5" s="23"/>
      <c r="K5" s="23"/>
      <c r="L5" s="23"/>
      <c r="M5" s="23"/>
      <c r="N5" s="23"/>
      <c r="O5" s="23"/>
      <c r="P5" s="23"/>
      <c r="Q5" s="23"/>
      <c r="R5" s="23"/>
      <c r="S5" s="23"/>
      <c r="T5" s="23"/>
      <c r="U5" s="23"/>
      <c r="V5" s="23"/>
    </row>
    <row r="6" spans="1:22" customFormat="1" ht="14.5" x14ac:dyDescent="0.35">
      <c r="A6" s="5" t="s">
        <v>179</v>
      </c>
      <c r="B6" s="5" t="s">
        <v>180</v>
      </c>
      <c r="C6" s="5" t="s">
        <v>181</v>
      </c>
      <c r="D6" s="5" t="s">
        <v>182</v>
      </c>
      <c r="E6" s="23"/>
      <c r="F6" s="23"/>
      <c r="G6" s="23"/>
      <c r="H6" s="23"/>
      <c r="I6" s="23"/>
      <c r="J6" s="23"/>
      <c r="K6" s="23"/>
      <c r="L6" s="23"/>
      <c r="M6" s="23"/>
      <c r="N6" s="23"/>
      <c r="O6" s="23"/>
      <c r="P6" s="23"/>
      <c r="Q6" s="23"/>
      <c r="R6" s="23"/>
      <c r="S6" s="23"/>
      <c r="T6" s="23"/>
      <c r="U6" s="23"/>
      <c r="V6" s="23"/>
    </row>
    <row r="7" spans="1:22" customFormat="1" ht="48" x14ac:dyDescent="0.35">
      <c r="A7" s="58" t="s">
        <v>22</v>
      </c>
      <c r="B7" s="6" t="s">
        <v>183</v>
      </c>
      <c r="C7" s="6" t="s">
        <v>184</v>
      </c>
      <c r="D7" s="6" t="s">
        <v>185</v>
      </c>
      <c r="E7" s="23"/>
      <c r="F7" s="23"/>
      <c r="G7" s="23"/>
      <c r="H7" s="23"/>
      <c r="I7" s="23"/>
      <c r="J7" s="23"/>
      <c r="K7" s="23"/>
      <c r="L7" s="23"/>
      <c r="M7" s="23"/>
      <c r="N7" s="23"/>
      <c r="O7" s="23"/>
      <c r="P7" s="23"/>
      <c r="Q7" s="23"/>
      <c r="R7" s="23"/>
      <c r="S7" s="23"/>
      <c r="T7" s="23"/>
      <c r="U7" s="23"/>
      <c r="V7" s="23"/>
    </row>
    <row r="8" spans="1:22" customFormat="1" ht="48" x14ac:dyDescent="0.35">
      <c r="A8" s="58" t="s">
        <v>20</v>
      </c>
      <c r="B8" s="6" t="s">
        <v>186</v>
      </c>
      <c r="C8" s="6" t="s">
        <v>187</v>
      </c>
      <c r="D8" s="6" t="s">
        <v>188</v>
      </c>
      <c r="E8" s="23"/>
      <c r="F8" s="23"/>
      <c r="G8" s="23"/>
      <c r="H8" s="23"/>
      <c r="I8" s="23"/>
      <c r="J8" s="23"/>
      <c r="K8" s="23"/>
      <c r="L8" s="23"/>
      <c r="M8" s="23"/>
      <c r="N8" s="23"/>
      <c r="O8" s="23"/>
      <c r="P8" s="23"/>
      <c r="Q8" s="23"/>
      <c r="R8" s="23"/>
      <c r="S8" s="23"/>
      <c r="T8" s="23"/>
      <c r="U8" s="23"/>
      <c r="V8" s="23"/>
    </row>
    <row r="9" spans="1:22" customFormat="1" ht="48" x14ac:dyDescent="0.35">
      <c r="A9" s="58" t="s">
        <v>23</v>
      </c>
      <c r="B9" s="6" t="s">
        <v>189</v>
      </c>
      <c r="C9" s="6" t="s">
        <v>190</v>
      </c>
      <c r="D9" s="6" t="s">
        <v>191</v>
      </c>
      <c r="E9" s="23"/>
      <c r="F9" s="23"/>
      <c r="G9" s="23"/>
      <c r="H9" s="23"/>
      <c r="I9" s="23"/>
      <c r="J9" s="23"/>
      <c r="K9" s="23"/>
      <c r="L9" s="23"/>
      <c r="M9" s="23"/>
      <c r="N9" s="23"/>
      <c r="O9" s="23"/>
      <c r="P9" s="23"/>
      <c r="Q9" s="23"/>
      <c r="R9" s="23"/>
      <c r="S9" s="23"/>
      <c r="T9" s="23"/>
      <c r="U9" s="23"/>
      <c r="V9" s="23"/>
    </row>
    <row r="10" spans="1:22" customFormat="1" ht="60" x14ac:dyDescent="0.35">
      <c r="A10" s="58" t="s">
        <v>24</v>
      </c>
      <c r="B10" s="6" t="s">
        <v>192</v>
      </c>
      <c r="C10" s="6" t="s">
        <v>193</v>
      </c>
      <c r="D10" s="6" t="s">
        <v>194</v>
      </c>
      <c r="E10" s="23"/>
      <c r="F10" s="23"/>
      <c r="G10" s="23"/>
      <c r="H10" s="23"/>
      <c r="I10" s="23"/>
      <c r="J10" s="23"/>
      <c r="K10" s="23"/>
      <c r="L10" s="23"/>
      <c r="M10" s="23"/>
      <c r="N10" s="23"/>
      <c r="O10" s="23"/>
      <c r="P10" s="23"/>
      <c r="Q10" s="23"/>
      <c r="R10" s="23"/>
      <c r="S10" s="23"/>
      <c r="T10" s="23"/>
      <c r="U10" s="23"/>
      <c r="V10" s="23"/>
    </row>
    <row r="11" spans="1:22" customFormat="1" ht="34.5" customHeight="1" thickBot="1" x14ac:dyDescent="0.4">
      <c r="A11" s="119" t="s">
        <v>99</v>
      </c>
      <c r="B11" s="120"/>
      <c r="C11" s="120"/>
      <c r="D11" s="23"/>
      <c r="E11" s="23"/>
      <c r="F11" s="23"/>
      <c r="G11" s="23"/>
      <c r="H11" s="23"/>
      <c r="I11" s="23"/>
      <c r="J11" s="23"/>
      <c r="K11" s="23"/>
      <c r="L11" s="23"/>
      <c r="M11" s="23"/>
      <c r="N11" s="23"/>
      <c r="O11" s="23"/>
      <c r="P11" s="23"/>
      <c r="Q11" s="23"/>
      <c r="R11" s="23"/>
      <c r="S11" s="23"/>
      <c r="T11" s="23"/>
      <c r="U11" s="23"/>
      <c r="V11" s="23"/>
    </row>
    <row r="12" spans="1:22" customFormat="1" ht="17.25" customHeight="1" thickBot="1" x14ac:dyDescent="0.4">
      <c r="A12" s="111" t="s">
        <v>100</v>
      </c>
      <c r="B12" s="24" t="s">
        <v>25</v>
      </c>
      <c r="C12" s="105" t="s">
        <v>22</v>
      </c>
      <c r="D12" s="106"/>
      <c r="E12" s="106"/>
      <c r="F12" s="107"/>
      <c r="G12" s="100" t="s">
        <v>20</v>
      </c>
      <c r="H12" s="101"/>
      <c r="I12" s="101"/>
      <c r="J12" s="102"/>
      <c r="K12" s="100" t="s">
        <v>23</v>
      </c>
      <c r="L12" s="101"/>
      <c r="M12" s="101"/>
      <c r="N12" s="102"/>
      <c r="O12" s="100" t="s">
        <v>24</v>
      </c>
      <c r="P12" s="101"/>
      <c r="Q12" s="101"/>
      <c r="R12" s="102"/>
      <c r="S12" s="23"/>
      <c r="T12" s="23"/>
      <c r="U12" s="23"/>
      <c r="V12" s="23"/>
    </row>
    <row r="13" spans="1:22" customFormat="1" ht="16.5" customHeight="1" x14ac:dyDescent="0.35">
      <c r="A13" s="111" t="s">
        <v>101</v>
      </c>
      <c r="B13" s="103" t="s">
        <v>26</v>
      </c>
      <c r="C13" s="99" t="s">
        <v>22</v>
      </c>
      <c r="D13" s="99" t="s">
        <v>20</v>
      </c>
      <c r="E13" s="62"/>
      <c r="F13" s="99" t="s">
        <v>24</v>
      </c>
      <c r="G13" s="99" t="s">
        <v>22</v>
      </c>
      <c r="H13" s="98" t="s">
        <v>20</v>
      </c>
      <c r="I13" s="61"/>
      <c r="J13" s="98" t="s">
        <v>24</v>
      </c>
      <c r="K13" s="99" t="s">
        <v>22</v>
      </c>
      <c r="L13" s="98" t="s">
        <v>20</v>
      </c>
      <c r="M13" s="61"/>
      <c r="N13" s="98" t="s">
        <v>24</v>
      </c>
      <c r="O13" s="99" t="s">
        <v>22</v>
      </c>
      <c r="P13" s="98" t="s">
        <v>20</v>
      </c>
      <c r="Q13" s="61"/>
      <c r="R13" s="98" t="s">
        <v>24</v>
      </c>
      <c r="S13" s="23"/>
      <c r="T13" s="23"/>
      <c r="U13" s="23"/>
      <c r="V13" s="23"/>
    </row>
    <row r="14" spans="1:22" customFormat="1" ht="17.25" customHeight="1" thickBot="1" x14ac:dyDescent="0.4">
      <c r="A14" s="112"/>
      <c r="B14" s="104"/>
      <c r="C14" s="99"/>
      <c r="D14" s="99"/>
      <c r="E14" s="62" t="s">
        <v>23</v>
      </c>
      <c r="F14" s="99"/>
      <c r="G14" s="99"/>
      <c r="H14" s="99"/>
      <c r="I14" s="62" t="s">
        <v>23</v>
      </c>
      <c r="J14" s="99"/>
      <c r="K14" s="99"/>
      <c r="L14" s="99"/>
      <c r="M14" s="62" t="s">
        <v>23</v>
      </c>
      <c r="N14" s="99"/>
      <c r="O14" s="99"/>
      <c r="P14" s="99"/>
      <c r="Q14" s="62" t="s">
        <v>23</v>
      </c>
      <c r="R14" s="99"/>
      <c r="S14" s="23"/>
      <c r="T14" s="23"/>
      <c r="U14" s="23"/>
      <c r="V14" s="23"/>
    </row>
    <row r="15" spans="1:22" customFormat="1" ht="14.5" x14ac:dyDescent="0.35">
      <c r="A15" s="113" t="s">
        <v>27</v>
      </c>
      <c r="B15" s="25" t="s">
        <v>22</v>
      </c>
      <c r="C15" s="26" t="s">
        <v>102</v>
      </c>
      <c r="D15" s="26" t="s">
        <v>102</v>
      </c>
      <c r="E15" s="28" t="s">
        <v>28</v>
      </c>
      <c r="F15" s="27" t="s">
        <v>21</v>
      </c>
      <c r="G15" s="26" t="s">
        <v>102</v>
      </c>
      <c r="H15" s="27" t="s">
        <v>19</v>
      </c>
      <c r="I15" s="28" t="s">
        <v>28</v>
      </c>
      <c r="J15" s="28" t="s">
        <v>21</v>
      </c>
      <c r="K15" s="28" t="s">
        <v>28</v>
      </c>
      <c r="L15" s="28" t="s">
        <v>28</v>
      </c>
      <c r="M15" s="28" t="s">
        <v>21</v>
      </c>
      <c r="N15" s="28" t="s">
        <v>21</v>
      </c>
      <c r="O15" s="27" t="s">
        <v>21</v>
      </c>
      <c r="P15" s="28" t="s">
        <v>21</v>
      </c>
      <c r="Q15" s="28" t="s">
        <v>21</v>
      </c>
      <c r="R15" s="30" t="s">
        <v>66</v>
      </c>
      <c r="S15" s="23"/>
      <c r="T15" s="23"/>
      <c r="U15" s="23"/>
      <c r="V15" s="23"/>
    </row>
    <row r="16" spans="1:22" customFormat="1" ht="14.5" x14ac:dyDescent="0.35">
      <c r="A16" s="114" t="s">
        <v>103</v>
      </c>
      <c r="B16" s="25" t="s">
        <v>20</v>
      </c>
      <c r="C16" s="26" t="s">
        <v>102</v>
      </c>
      <c r="D16" s="27" t="s">
        <v>19</v>
      </c>
      <c r="E16" s="28" t="s">
        <v>28</v>
      </c>
      <c r="F16" s="28" t="s">
        <v>21</v>
      </c>
      <c r="G16" s="27" t="s">
        <v>19</v>
      </c>
      <c r="H16" s="27" t="s">
        <v>19</v>
      </c>
      <c r="I16" s="28" t="s">
        <v>28</v>
      </c>
      <c r="J16" s="28" t="s">
        <v>21</v>
      </c>
      <c r="K16" s="28" t="s">
        <v>28</v>
      </c>
      <c r="L16" s="28" t="s">
        <v>28</v>
      </c>
      <c r="M16" s="28" t="s">
        <v>21</v>
      </c>
      <c r="N16" s="29" t="s">
        <v>21</v>
      </c>
      <c r="O16" s="28" t="s">
        <v>21</v>
      </c>
      <c r="P16" s="28" t="s">
        <v>21</v>
      </c>
      <c r="Q16" s="29" t="s">
        <v>21</v>
      </c>
      <c r="R16" s="30" t="s">
        <v>66</v>
      </c>
      <c r="S16" s="23"/>
      <c r="T16" s="23"/>
      <c r="U16" s="23"/>
      <c r="V16" s="23"/>
    </row>
    <row r="17" spans="1:22" customFormat="1" ht="14.5" x14ac:dyDescent="0.35">
      <c r="A17" s="114"/>
      <c r="B17" s="25" t="s">
        <v>23</v>
      </c>
      <c r="C17" s="28" t="s">
        <v>28</v>
      </c>
      <c r="D17" s="28" t="s">
        <v>28</v>
      </c>
      <c r="E17" s="28" t="s">
        <v>21</v>
      </c>
      <c r="F17" s="28" t="s">
        <v>21</v>
      </c>
      <c r="G17" s="28" t="s">
        <v>28</v>
      </c>
      <c r="H17" s="28" t="s">
        <v>28</v>
      </c>
      <c r="I17" s="28" t="s">
        <v>21</v>
      </c>
      <c r="J17" s="29" t="s">
        <v>21</v>
      </c>
      <c r="K17" s="28" t="s">
        <v>21</v>
      </c>
      <c r="L17" s="28" t="s">
        <v>195</v>
      </c>
      <c r="M17" s="29" t="s">
        <v>21</v>
      </c>
      <c r="N17" s="29" t="s">
        <v>21</v>
      </c>
      <c r="O17" s="28" t="s">
        <v>21</v>
      </c>
      <c r="P17" s="29" t="s">
        <v>21</v>
      </c>
      <c r="Q17" s="29" t="s">
        <v>21</v>
      </c>
      <c r="R17" s="30" t="s">
        <v>104</v>
      </c>
      <c r="S17" s="23"/>
      <c r="T17" s="23"/>
      <c r="U17" s="23"/>
      <c r="V17" s="23"/>
    </row>
    <row r="18" spans="1:22" customFormat="1" ht="15" thickBot="1" x14ac:dyDescent="0.4">
      <c r="A18" s="115"/>
      <c r="B18" s="25" t="s">
        <v>24</v>
      </c>
      <c r="C18" s="27" t="s">
        <v>21</v>
      </c>
      <c r="D18" s="28" t="s">
        <v>21</v>
      </c>
      <c r="E18" s="28" t="s">
        <v>21</v>
      </c>
      <c r="F18" s="30" t="s">
        <v>66</v>
      </c>
      <c r="G18" s="28" t="s">
        <v>21</v>
      </c>
      <c r="H18" s="28" t="s">
        <v>21</v>
      </c>
      <c r="I18" s="29" t="s">
        <v>21</v>
      </c>
      <c r="J18" s="30" t="s">
        <v>66</v>
      </c>
      <c r="K18" s="28" t="s">
        <v>21</v>
      </c>
      <c r="L18" s="29" t="s">
        <v>21</v>
      </c>
      <c r="M18" s="29" t="s">
        <v>21</v>
      </c>
      <c r="N18" s="30" t="s">
        <v>66</v>
      </c>
      <c r="O18" s="30" t="s">
        <v>66</v>
      </c>
      <c r="P18" s="30" t="s">
        <v>66</v>
      </c>
      <c r="Q18" s="30" t="s">
        <v>104</v>
      </c>
      <c r="R18" s="30" t="s">
        <v>104</v>
      </c>
      <c r="S18" s="23"/>
      <c r="T18" s="23"/>
      <c r="U18" s="23"/>
      <c r="V18" s="23"/>
    </row>
    <row r="19" spans="1:22" customFormat="1" ht="31.5" customHeight="1" thickBot="1" x14ac:dyDescent="0.4">
      <c r="A19" s="116" t="s">
        <v>105</v>
      </c>
      <c r="B19" s="117"/>
      <c r="C19" s="118"/>
      <c r="D19" s="23"/>
      <c r="E19" s="23"/>
      <c r="F19" s="23"/>
      <c r="G19" s="23"/>
      <c r="H19" s="23"/>
      <c r="I19" s="23"/>
      <c r="J19" s="23"/>
      <c r="K19" s="23"/>
      <c r="L19" s="23"/>
      <c r="M19" s="23"/>
      <c r="N19" s="23"/>
      <c r="O19" s="23"/>
      <c r="P19" s="23"/>
      <c r="Q19" s="23"/>
      <c r="R19" s="23"/>
      <c r="S19" s="23"/>
      <c r="T19" s="23"/>
      <c r="U19" s="23"/>
      <c r="V19" s="23"/>
    </row>
    <row r="20" spans="1:22" customFormat="1" ht="18.75" customHeight="1" x14ac:dyDescent="0.35">
      <c r="A20" s="5" t="s">
        <v>106</v>
      </c>
      <c r="B20" s="5" t="s">
        <v>107</v>
      </c>
      <c r="C20" s="5" t="s">
        <v>108</v>
      </c>
      <c r="D20" s="23"/>
      <c r="E20" s="23"/>
      <c r="F20" s="23"/>
      <c r="G20" s="23"/>
      <c r="H20" s="23"/>
      <c r="I20" s="23"/>
      <c r="J20" s="23"/>
      <c r="K20" s="23"/>
      <c r="L20" s="23"/>
      <c r="M20" s="23"/>
      <c r="N20" s="23"/>
      <c r="O20" s="23"/>
      <c r="P20" s="23"/>
      <c r="Q20" s="23"/>
      <c r="R20" s="23"/>
      <c r="S20" s="23"/>
      <c r="T20" s="23"/>
      <c r="U20" s="23"/>
      <c r="V20" s="23"/>
    </row>
    <row r="21" spans="1:22" customFormat="1" ht="31.5" customHeight="1" x14ac:dyDescent="0.35">
      <c r="A21" s="31" t="s">
        <v>65</v>
      </c>
      <c r="B21" s="32" t="s">
        <v>109</v>
      </c>
      <c r="C21" s="33"/>
      <c r="D21" s="23"/>
      <c r="E21" s="23"/>
      <c r="F21" s="23"/>
      <c r="G21" s="23"/>
      <c r="H21" s="23"/>
      <c r="I21" s="23"/>
      <c r="J21" s="23"/>
      <c r="K21" s="23"/>
      <c r="L21" s="23"/>
      <c r="M21" s="23"/>
      <c r="N21" s="23"/>
      <c r="O21" s="23"/>
      <c r="P21" s="23"/>
      <c r="Q21" s="23"/>
      <c r="R21" s="23"/>
      <c r="S21" s="23"/>
      <c r="T21" s="23"/>
      <c r="U21" s="23"/>
      <c r="V21" s="23"/>
    </row>
    <row r="22" spans="1:22" customFormat="1" ht="31.5" customHeight="1" x14ac:dyDescent="0.35">
      <c r="A22" s="31" t="s">
        <v>19</v>
      </c>
      <c r="B22" s="32" t="s">
        <v>110</v>
      </c>
      <c r="C22" s="34"/>
      <c r="D22" s="23"/>
      <c r="E22" s="23"/>
      <c r="F22" s="23"/>
      <c r="G22" s="23"/>
      <c r="H22" s="23"/>
      <c r="I22" s="23"/>
      <c r="J22" s="23"/>
      <c r="K22" s="23"/>
      <c r="L22" s="23"/>
      <c r="M22" s="23"/>
      <c r="N22" s="23"/>
      <c r="O22" s="23"/>
      <c r="P22" s="23"/>
      <c r="Q22" s="23"/>
      <c r="R22" s="23"/>
      <c r="S22" s="23"/>
      <c r="T22" s="23"/>
      <c r="U22" s="23"/>
      <c r="V22" s="23"/>
    </row>
    <row r="23" spans="1:22" customFormat="1" ht="31.5" customHeight="1" x14ac:dyDescent="0.35">
      <c r="A23" s="31" t="s">
        <v>28</v>
      </c>
      <c r="B23" s="32" t="s">
        <v>111</v>
      </c>
      <c r="C23" s="35"/>
      <c r="D23" s="23"/>
      <c r="E23" s="23"/>
      <c r="F23" s="23"/>
      <c r="G23" s="23"/>
      <c r="H23" s="23"/>
      <c r="I23" s="23"/>
      <c r="J23" s="23"/>
      <c r="K23" s="23"/>
      <c r="L23" s="23"/>
      <c r="M23" s="23"/>
      <c r="N23" s="23"/>
      <c r="O23" s="23"/>
      <c r="P23" s="23"/>
      <c r="Q23" s="23"/>
      <c r="R23" s="23"/>
      <c r="S23" s="23"/>
      <c r="T23" s="23"/>
      <c r="U23" s="23"/>
      <c r="V23" s="23"/>
    </row>
    <row r="24" spans="1:22" customFormat="1" ht="31.5" customHeight="1" x14ac:dyDescent="0.35">
      <c r="A24" s="31" t="s">
        <v>21</v>
      </c>
      <c r="B24" s="32" t="s">
        <v>112</v>
      </c>
      <c r="C24" s="36"/>
      <c r="D24" s="23"/>
      <c r="E24" s="23"/>
      <c r="F24" s="23"/>
      <c r="G24" s="23"/>
      <c r="H24" s="23"/>
      <c r="I24" s="23"/>
      <c r="J24" s="23"/>
      <c r="K24" s="23"/>
      <c r="L24" s="23"/>
      <c r="M24" s="23"/>
      <c r="N24" s="23"/>
      <c r="O24" s="23"/>
      <c r="P24" s="23"/>
      <c r="Q24" s="23"/>
      <c r="R24" s="23"/>
      <c r="S24" s="23"/>
      <c r="T24" s="23"/>
      <c r="U24" s="23"/>
      <c r="V24" s="23"/>
    </row>
    <row r="25" spans="1:22" customFormat="1" ht="31.5" customHeight="1" x14ac:dyDescent="0.35">
      <c r="A25" s="31" t="s">
        <v>66</v>
      </c>
      <c r="B25" s="32" t="s">
        <v>113</v>
      </c>
      <c r="C25" s="37"/>
      <c r="D25" s="23"/>
      <c r="E25" s="23"/>
      <c r="F25" s="23"/>
      <c r="G25" s="23"/>
      <c r="H25" s="23"/>
      <c r="I25" s="23"/>
      <c r="J25" s="23"/>
      <c r="K25" s="23"/>
      <c r="L25" s="23"/>
      <c r="M25" s="23"/>
      <c r="N25" s="23"/>
      <c r="O25" s="23"/>
      <c r="P25" s="23"/>
      <c r="Q25" s="23"/>
      <c r="R25" s="23"/>
      <c r="S25" s="23"/>
      <c r="T25" s="23"/>
      <c r="U25" s="23"/>
      <c r="V25" s="23"/>
    </row>
    <row r="26" spans="1:22" customFormat="1" ht="15.75" customHeight="1" x14ac:dyDescent="0.35">
      <c r="A26" s="119" t="s">
        <v>114</v>
      </c>
      <c r="B26" s="120"/>
      <c r="C26" s="120"/>
      <c r="D26" s="23"/>
      <c r="E26" s="23"/>
      <c r="F26" s="23"/>
      <c r="G26" s="23"/>
      <c r="H26" s="23"/>
      <c r="I26" s="23"/>
      <c r="J26" s="23"/>
      <c r="K26" s="23"/>
      <c r="L26" s="23"/>
      <c r="M26" s="23"/>
      <c r="N26" s="23"/>
      <c r="O26" s="23"/>
      <c r="P26" s="23"/>
      <c r="Q26" s="23"/>
      <c r="R26" s="23"/>
      <c r="S26" s="23"/>
      <c r="T26" s="23"/>
      <c r="U26" s="23"/>
      <c r="V26" s="23"/>
    </row>
    <row r="27" spans="1:22" s="7" customFormat="1" ht="20.25" customHeight="1" x14ac:dyDescent="0.25">
      <c r="A27" s="108" t="s">
        <v>210</v>
      </c>
      <c r="B27" s="109"/>
      <c r="C27" s="110"/>
      <c r="D27" s="23"/>
      <c r="E27" s="23"/>
      <c r="F27" s="23"/>
      <c r="G27" s="23"/>
      <c r="H27" s="23"/>
      <c r="I27" s="23"/>
      <c r="J27" s="23"/>
      <c r="K27" s="23"/>
      <c r="L27" s="23"/>
      <c r="M27" s="23"/>
      <c r="N27" s="23"/>
      <c r="O27" s="23"/>
      <c r="P27" s="23"/>
      <c r="Q27" s="23"/>
      <c r="R27" s="23"/>
      <c r="S27" s="23"/>
      <c r="T27" s="23"/>
      <c r="U27" s="23"/>
      <c r="V27" s="23"/>
    </row>
    <row r="28" spans="1:22" ht="14.5" x14ac:dyDescent="0.25">
      <c r="A28" s="5" t="s">
        <v>211</v>
      </c>
      <c r="B28" s="5" t="s">
        <v>212</v>
      </c>
      <c r="C28" s="5" t="s">
        <v>213</v>
      </c>
      <c r="D28" s="23"/>
      <c r="E28" s="23"/>
      <c r="F28" s="23"/>
      <c r="G28" s="23"/>
      <c r="H28" s="23"/>
      <c r="I28" s="23"/>
      <c r="J28" s="23"/>
      <c r="K28" s="23"/>
      <c r="L28" s="23"/>
      <c r="M28" s="23"/>
      <c r="N28" s="23"/>
      <c r="O28" s="23"/>
      <c r="P28" s="23"/>
      <c r="Q28" s="23"/>
      <c r="R28" s="23"/>
      <c r="S28" s="23"/>
      <c r="T28" s="23"/>
      <c r="U28" s="23"/>
      <c r="V28" s="23"/>
    </row>
    <row r="29" spans="1:22" ht="24" x14ac:dyDescent="0.25">
      <c r="A29" s="6" t="s">
        <v>65</v>
      </c>
      <c r="B29" s="6" t="s">
        <v>22</v>
      </c>
      <c r="C29" s="6" t="s">
        <v>214</v>
      </c>
      <c r="D29" s="23"/>
      <c r="E29" s="23"/>
      <c r="F29" s="23"/>
      <c r="G29" s="23"/>
      <c r="H29" s="23"/>
      <c r="I29" s="23"/>
      <c r="J29" s="23"/>
      <c r="K29" s="23"/>
      <c r="L29" s="23"/>
      <c r="M29" s="23"/>
      <c r="N29" s="23"/>
      <c r="O29" s="23"/>
      <c r="P29" s="23"/>
      <c r="Q29" s="23"/>
      <c r="R29" s="23"/>
      <c r="S29" s="23"/>
      <c r="T29" s="23"/>
      <c r="U29" s="23"/>
      <c r="V29" s="23"/>
    </row>
    <row r="30" spans="1:22" ht="24" x14ac:dyDescent="0.25">
      <c r="A30" s="6" t="s">
        <v>19</v>
      </c>
      <c r="B30" s="6" t="s">
        <v>206</v>
      </c>
      <c r="C30" s="6" t="s">
        <v>215</v>
      </c>
      <c r="D30" s="23"/>
      <c r="E30" s="23"/>
      <c r="F30" s="23"/>
      <c r="G30" s="23"/>
      <c r="H30" s="23"/>
      <c r="I30" s="23"/>
      <c r="J30" s="23"/>
      <c r="K30" s="23"/>
      <c r="L30" s="23"/>
      <c r="M30" s="23"/>
      <c r="N30" s="23"/>
      <c r="O30" s="23"/>
      <c r="P30" s="23"/>
      <c r="Q30" s="23"/>
      <c r="R30" s="23"/>
      <c r="S30" s="23"/>
      <c r="T30" s="23"/>
      <c r="U30" s="23"/>
      <c r="V30" s="23"/>
    </row>
    <row r="31" spans="1:22" ht="24" x14ac:dyDescent="0.25">
      <c r="A31" s="6" t="s">
        <v>28</v>
      </c>
      <c r="B31" s="6" t="s">
        <v>207</v>
      </c>
      <c r="C31" s="6" t="s">
        <v>216</v>
      </c>
      <c r="D31" s="23"/>
      <c r="E31" s="23"/>
      <c r="F31" s="23"/>
      <c r="G31" s="23"/>
      <c r="H31" s="23"/>
      <c r="I31" s="23"/>
      <c r="J31" s="23"/>
      <c r="K31" s="23"/>
      <c r="L31" s="23"/>
      <c r="M31" s="23"/>
      <c r="N31" s="23"/>
      <c r="O31" s="23"/>
      <c r="P31" s="23"/>
      <c r="Q31" s="23"/>
      <c r="R31" s="23"/>
      <c r="S31" s="23"/>
      <c r="T31" s="23"/>
      <c r="U31" s="23"/>
      <c r="V31" s="23"/>
    </row>
    <row r="32" spans="1:22" ht="24" x14ac:dyDescent="0.25">
      <c r="A32" s="6" t="s">
        <v>21</v>
      </c>
      <c r="B32" s="6" t="s">
        <v>208</v>
      </c>
      <c r="C32" s="6" t="s">
        <v>217</v>
      </c>
      <c r="D32" s="23"/>
      <c r="E32" s="23"/>
      <c r="F32" s="23"/>
      <c r="G32" s="23"/>
      <c r="H32" s="23"/>
      <c r="I32" s="23"/>
      <c r="J32" s="23"/>
      <c r="K32" s="23"/>
      <c r="L32" s="23"/>
      <c r="M32" s="23"/>
      <c r="N32" s="23"/>
      <c r="O32" s="23"/>
      <c r="P32" s="23"/>
      <c r="Q32" s="23"/>
      <c r="R32" s="23"/>
      <c r="S32" s="23"/>
      <c r="T32" s="23"/>
      <c r="U32" s="23"/>
      <c r="V32" s="23"/>
    </row>
    <row r="33" spans="1:22" ht="24" x14ac:dyDescent="0.25">
      <c r="A33" s="6" t="s">
        <v>104</v>
      </c>
      <c r="B33" s="6" t="s">
        <v>218</v>
      </c>
      <c r="C33" s="6" t="s">
        <v>219</v>
      </c>
      <c r="D33" s="23"/>
      <c r="E33" s="23"/>
      <c r="F33" s="23"/>
      <c r="G33" s="23"/>
      <c r="H33" s="23"/>
      <c r="I33" s="23"/>
      <c r="J33" s="23"/>
      <c r="K33" s="23"/>
      <c r="L33" s="23"/>
      <c r="M33" s="23"/>
      <c r="N33" s="23"/>
      <c r="O33" s="23"/>
      <c r="P33" s="23"/>
      <c r="Q33" s="23"/>
      <c r="R33" s="23"/>
      <c r="S33" s="23"/>
      <c r="T33" s="23"/>
      <c r="U33" s="23"/>
      <c r="V33" s="23"/>
    </row>
    <row r="34" spans="1:22" x14ac:dyDescent="0.25">
      <c r="A34" s="23"/>
      <c r="B34" s="23"/>
      <c r="C34" s="23"/>
      <c r="D34" s="23"/>
      <c r="E34" s="23"/>
      <c r="F34" s="23"/>
      <c r="G34" s="23"/>
      <c r="H34" s="23"/>
      <c r="I34" s="23"/>
      <c r="J34" s="23"/>
      <c r="K34" s="23"/>
      <c r="L34" s="23"/>
      <c r="M34" s="23"/>
      <c r="N34" s="23"/>
      <c r="O34" s="23"/>
      <c r="P34" s="23"/>
      <c r="Q34" s="23"/>
      <c r="R34" s="23"/>
      <c r="S34" s="23"/>
      <c r="T34" s="23"/>
      <c r="U34" s="23"/>
      <c r="V34" s="23"/>
    </row>
    <row r="35" spans="1:22" x14ac:dyDescent="0.25">
      <c r="A35" s="23"/>
      <c r="B35" s="23"/>
      <c r="C35" s="23"/>
      <c r="D35" s="23"/>
      <c r="E35" s="23"/>
      <c r="F35" s="23"/>
      <c r="G35" s="23"/>
      <c r="H35" s="23"/>
      <c r="I35" s="23"/>
      <c r="J35" s="23"/>
      <c r="K35" s="23"/>
      <c r="L35" s="23"/>
      <c r="M35" s="23"/>
      <c r="N35" s="23"/>
      <c r="O35" s="23"/>
      <c r="P35" s="23"/>
      <c r="Q35" s="23"/>
      <c r="R35" s="23"/>
      <c r="S35" s="23"/>
      <c r="T35" s="23"/>
      <c r="U35" s="23"/>
      <c r="V35" s="23"/>
    </row>
  </sheetData>
  <mergeCells count="28">
    <mergeCell ref="K12:N12"/>
    <mergeCell ref="A11:C11"/>
    <mergeCell ref="A1:C1"/>
    <mergeCell ref="A2:C2"/>
    <mergeCell ref="A3:C3"/>
    <mergeCell ref="A4:C4"/>
    <mergeCell ref="A5:C5"/>
    <mergeCell ref="A27:C27"/>
    <mergeCell ref="A12:A14"/>
    <mergeCell ref="A15:A18"/>
    <mergeCell ref="A19:C19"/>
    <mergeCell ref="A26:C26"/>
    <mergeCell ref="N13:N14"/>
    <mergeCell ref="O12:R12"/>
    <mergeCell ref="B13:B14"/>
    <mergeCell ref="C13:C14"/>
    <mergeCell ref="D13:D14"/>
    <mergeCell ref="F13:F14"/>
    <mergeCell ref="G13:G14"/>
    <mergeCell ref="P13:P14"/>
    <mergeCell ref="R13:R14"/>
    <mergeCell ref="O13:O14"/>
    <mergeCell ref="H13:H14"/>
    <mergeCell ref="J13:J14"/>
    <mergeCell ref="K13:K14"/>
    <mergeCell ref="L13:L14"/>
    <mergeCell ref="C12:F12"/>
    <mergeCell ref="G12:J12"/>
  </mergeCells>
  <conditionalFormatting sqref="B15:B18">
    <cfRule type="cellIs" dxfId="120" priority="4" stopIfTrue="1" operator="equal">
      <formula>$B$13</formula>
    </cfRule>
  </conditionalFormatting>
  <conditionalFormatting sqref="C15:R18">
    <cfRule type="cellIs" dxfId="119" priority="1" operator="equal">
      <formula>"High"</formula>
    </cfRule>
    <cfRule type="cellIs" dxfId="118" priority="2" operator="equal">
      <formula>"Medium"</formula>
    </cfRule>
    <cfRule type="cellIs" dxfId="117" priority="3" stopIfTrue="1" operator="equal">
      <formula>#REF!</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2"/>
  <sheetViews>
    <sheetView showGridLines="0" topLeftCell="A8" zoomScale="90" zoomScaleNormal="90" workbookViewId="0">
      <selection activeCell="K1" sqref="K1"/>
    </sheetView>
  </sheetViews>
  <sheetFormatPr defaultColWidth="9.1796875" defaultRowHeight="14" x14ac:dyDescent="0.3"/>
  <cols>
    <col min="1" max="1" width="9.1796875" style="46"/>
    <col min="2" max="2" width="33.54296875" style="11" customWidth="1"/>
    <col min="3" max="3" width="16.7265625" style="11" customWidth="1"/>
    <col min="4" max="4" width="15.26953125" style="11" customWidth="1"/>
    <col min="5" max="5" width="9.1796875" style="11"/>
    <col min="6" max="8" width="18.7265625" style="46" customWidth="1"/>
    <col min="9" max="9" width="14.26953125" style="46" customWidth="1"/>
    <col min="10" max="10" width="25.1796875" style="46" customWidth="1"/>
    <col min="11" max="16384" width="9.1796875" style="11"/>
  </cols>
  <sheetData>
    <row r="1" spans="1:10" ht="21" customHeight="1" x14ac:dyDescent="0.3">
      <c r="A1" s="126" t="s">
        <v>40</v>
      </c>
      <c r="B1" s="127"/>
      <c r="C1" s="127"/>
      <c r="D1" s="127"/>
      <c r="E1" s="128"/>
      <c r="F1" s="126" t="s">
        <v>196</v>
      </c>
      <c r="G1" s="127"/>
      <c r="H1" s="127"/>
      <c r="I1" s="127"/>
      <c r="J1" s="127"/>
    </row>
    <row r="2" spans="1:10" ht="15.75" customHeight="1" x14ac:dyDescent="0.3">
      <c r="A2" s="129" t="s">
        <v>221</v>
      </c>
      <c r="B2" s="130"/>
      <c r="C2" s="130"/>
      <c r="D2" s="130"/>
      <c r="E2" s="130"/>
      <c r="F2" s="130"/>
      <c r="G2" s="130"/>
      <c r="H2" s="130"/>
      <c r="I2" s="130"/>
      <c r="J2" s="130"/>
    </row>
    <row r="3" spans="1:10" ht="27.75" customHeight="1" x14ac:dyDescent="0.3">
      <c r="A3" s="129"/>
      <c r="B3" s="130"/>
      <c r="C3" s="130"/>
      <c r="D3" s="130"/>
      <c r="E3" s="130"/>
      <c r="F3" s="130"/>
      <c r="G3" s="130"/>
      <c r="H3" s="130"/>
      <c r="I3" s="130"/>
      <c r="J3" s="130"/>
    </row>
    <row r="4" spans="1:10" ht="22.5" customHeight="1" x14ac:dyDescent="0.3">
      <c r="A4" s="131"/>
      <c r="B4" s="132"/>
      <c r="C4" s="132"/>
      <c r="D4" s="132"/>
      <c r="E4" s="132"/>
      <c r="F4" s="132"/>
      <c r="G4" s="132"/>
      <c r="H4" s="132"/>
      <c r="I4" s="132"/>
      <c r="J4" s="132"/>
    </row>
    <row r="5" spans="1:10" ht="22.5" customHeight="1" x14ac:dyDescent="0.3">
      <c r="A5" s="133" t="s">
        <v>5</v>
      </c>
      <c r="B5" s="135" t="s">
        <v>37</v>
      </c>
      <c r="C5" s="136"/>
      <c r="D5" s="136"/>
      <c r="E5" s="137"/>
      <c r="F5" s="138" t="s">
        <v>30</v>
      </c>
      <c r="G5" s="139"/>
      <c r="H5" s="139"/>
      <c r="I5" s="140"/>
      <c r="J5" s="60" t="s">
        <v>29</v>
      </c>
    </row>
    <row r="6" spans="1:10" ht="43.5" x14ac:dyDescent="0.3">
      <c r="A6" s="134"/>
      <c r="B6" s="57" t="s">
        <v>197</v>
      </c>
      <c r="C6" s="57" t="s">
        <v>38</v>
      </c>
      <c r="D6" s="57" t="s">
        <v>198</v>
      </c>
      <c r="E6" s="57" t="s">
        <v>39</v>
      </c>
      <c r="F6" s="57" t="s">
        <v>118</v>
      </c>
      <c r="G6" s="57" t="s">
        <v>116</v>
      </c>
      <c r="H6" s="57" t="s">
        <v>117</v>
      </c>
      <c r="I6" s="57" t="s">
        <v>41</v>
      </c>
      <c r="J6" s="57" t="s">
        <v>212</v>
      </c>
    </row>
    <row r="7" spans="1:10" ht="113.25" customHeight="1" x14ac:dyDescent="0.3">
      <c r="A7" s="39">
        <v>1</v>
      </c>
      <c r="B7" s="43" t="s">
        <v>238</v>
      </c>
      <c r="C7" s="38"/>
      <c r="D7" s="43"/>
      <c r="E7" s="43"/>
      <c r="F7" s="44"/>
      <c r="G7" s="44"/>
      <c r="H7" s="44"/>
      <c r="I7" s="45" t="e">
        <f t="shared" ref="I7:I13" si="0">VLOOKUP(F7&amp;G7&amp;H7, $Y$139:$Z$202, 2, 0)</f>
        <v>#N/A</v>
      </c>
      <c r="J7" s="45" t="e">
        <f>VLOOKUP(I7, 'Asset Inventorization Guideline'!$A$29:$B$33, 2, 0)</f>
        <v>#N/A</v>
      </c>
    </row>
    <row r="8" spans="1:10" ht="73.5" customHeight="1" x14ac:dyDescent="0.3">
      <c r="A8" s="38">
        <v>2</v>
      </c>
      <c r="B8" s="43" t="s">
        <v>239</v>
      </c>
      <c r="C8" s="38"/>
      <c r="D8" s="40"/>
      <c r="E8" s="40"/>
      <c r="F8" s="44"/>
      <c r="G8" s="44"/>
      <c r="H8" s="44"/>
      <c r="I8" s="45" t="e">
        <f t="shared" si="0"/>
        <v>#N/A</v>
      </c>
      <c r="J8" s="45" t="e">
        <f>VLOOKUP(I8, 'Asset Inventorization Guideline'!$A$29:$B$33, 2, 0)</f>
        <v>#N/A</v>
      </c>
    </row>
    <row r="9" spans="1:10" ht="77.25" customHeight="1" x14ac:dyDescent="0.3">
      <c r="A9" s="38">
        <v>3</v>
      </c>
      <c r="B9" s="43" t="s">
        <v>240</v>
      </c>
      <c r="C9" s="38"/>
      <c r="D9" s="40"/>
      <c r="E9" s="40"/>
      <c r="F9" s="44"/>
      <c r="G9" s="44"/>
      <c r="H9" s="44"/>
      <c r="I9" s="45" t="e">
        <f t="shared" si="0"/>
        <v>#N/A</v>
      </c>
      <c r="J9" s="45" t="e">
        <f>VLOOKUP(I9, 'Asset Inventorization Guideline'!$A$29:$B$33, 2, 0)</f>
        <v>#N/A</v>
      </c>
    </row>
    <row r="10" spans="1:10" ht="88.5" customHeight="1" x14ac:dyDescent="0.3">
      <c r="A10" s="38">
        <v>4</v>
      </c>
      <c r="B10" s="43" t="s">
        <v>241</v>
      </c>
      <c r="C10" s="38"/>
      <c r="D10" s="40"/>
      <c r="E10" s="40"/>
      <c r="F10" s="44"/>
      <c r="G10" s="44"/>
      <c r="H10" s="44"/>
      <c r="I10" s="45" t="e">
        <f t="shared" si="0"/>
        <v>#N/A</v>
      </c>
      <c r="J10" s="45" t="e">
        <f>VLOOKUP(I10, 'Asset Inventorization Guideline'!$A$29:$B$33, 2, 0)</f>
        <v>#N/A</v>
      </c>
    </row>
    <row r="11" spans="1:10" ht="90" customHeight="1" x14ac:dyDescent="0.3">
      <c r="A11" s="38">
        <v>5</v>
      </c>
      <c r="B11" s="43" t="s">
        <v>242</v>
      </c>
      <c r="C11" s="38"/>
      <c r="D11" s="40"/>
      <c r="E11" s="40"/>
      <c r="F11" s="44"/>
      <c r="G11" s="44"/>
      <c r="H11" s="44"/>
      <c r="I11" s="45" t="e">
        <f t="shared" si="0"/>
        <v>#N/A</v>
      </c>
      <c r="J11" s="45" t="e">
        <f>VLOOKUP(I11, 'Asset Inventorization Guideline'!$A$29:$B$33, 2, 0)</f>
        <v>#N/A</v>
      </c>
    </row>
    <row r="12" spans="1:10" ht="62.25" customHeight="1" x14ac:dyDescent="0.3">
      <c r="A12" s="38">
        <v>6</v>
      </c>
      <c r="B12" s="43" t="s">
        <v>243</v>
      </c>
      <c r="C12" s="38"/>
      <c r="D12" s="40"/>
      <c r="E12" s="40"/>
      <c r="F12" s="44"/>
      <c r="G12" s="44"/>
      <c r="H12" s="44"/>
      <c r="I12" s="45" t="e">
        <f t="shared" si="0"/>
        <v>#N/A</v>
      </c>
      <c r="J12" s="45" t="e">
        <f>VLOOKUP(I12, 'Asset Inventorization Guideline'!$A$29:$B$33, 2, 0)</f>
        <v>#N/A</v>
      </c>
    </row>
    <row r="13" spans="1:10" ht="66.75" customHeight="1" x14ac:dyDescent="0.3">
      <c r="A13" s="38">
        <v>7</v>
      </c>
      <c r="B13" s="43" t="s">
        <v>244</v>
      </c>
      <c r="C13" s="38"/>
      <c r="D13" s="40"/>
      <c r="E13" s="40"/>
      <c r="F13" s="44"/>
      <c r="G13" s="44"/>
      <c r="H13" s="44"/>
      <c r="I13" s="45" t="e">
        <f t="shared" si="0"/>
        <v>#N/A</v>
      </c>
      <c r="J13" s="45" t="e">
        <f>VLOOKUP(I13, 'Asset Inventorization Guideline'!$A$29:$B$33, 2, 0)</f>
        <v>#N/A</v>
      </c>
    </row>
    <row r="37" spans="12:17" x14ac:dyDescent="0.3">
      <c r="L37" s="9"/>
      <c r="M37" s="9"/>
      <c r="N37" s="9"/>
    </row>
    <row r="38" spans="12:17" x14ac:dyDescent="0.3">
      <c r="L38" s="10"/>
      <c r="M38" s="10"/>
      <c r="N38" s="10"/>
      <c r="O38" s="10"/>
      <c r="P38" s="10"/>
      <c r="Q38" s="10"/>
    </row>
    <row r="39" spans="12:17" x14ac:dyDescent="0.3">
      <c r="L39" s="10"/>
      <c r="M39" s="10"/>
      <c r="N39" s="10"/>
      <c r="O39" s="10"/>
      <c r="P39" s="10"/>
      <c r="Q39" s="10"/>
    </row>
    <row r="40" spans="12:17" x14ac:dyDescent="0.3">
      <c r="L40" s="10"/>
      <c r="M40" s="10"/>
      <c r="N40" s="10"/>
      <c r="O40" s="10"/>
      <c r="P40" s="10"/>
      <c r="Q40" s="10"/>
    </row>
    <row r="41" spans="12:17" x14ac:dyDescent="0.3">
      <c r="L41" s="10"/>
      <c r="M41" s="10"/>
      <c r="N41" s="10"/>
      <c r="O41" s="10"/>
      <c r="P41" s="10"/>
      <c r="Q41" s="10"/>
    </row>
    <row r="42" spans="12:17" x14ac:dyDescent="0.3">
      <c r="L42" s="10"/>
      <c r="M42" s="10"/>
      <c r="N42" s="10"/>
      <c r="O42" s="10"/>
      <c r="P42" s="10"/>
      <c r="Q42" s="10"/>
    </row>
    <row r="43" spans="12:17" x14ac:dyDescent="0.3">
      <c r="L43" s="10"/>
      <c r="M43" s="10"/>
      <c r="N43" s="10"/>
      <c r="O43" s="10"/>
      <c r="P43" s="10"/>
      <c r="Q43" s="10"/>
    </row>
    <row r="44" spans="12:17" x14ac:dyDescent="0.3">
      <c r="L44" s="10"/>
      <c r="M44" s="10"/>
      <c r="N44" s="10"/>
      <c r="O44" s="10"/>
      <c r="P44" s="10"/>
      <c r="Q44" s="10"/>
    </row>
    <row r="45" spans="12:17" x14ac:dyDescent="0.3">
      <c r="L45" s="10"/>
      <c r="M45" s="10"/>
      <c r="N45" s="10"/>
      <c r="O45" s="10"/>
      <c r="P45" s="10"/>
      <c r="Q45" s="10"/>
    </row>
    <row r="46" spans="12:17" x14ac:dyDescent="0.3">
      <c r="L46" s="10"/>
      <c r="M46" s="10"/>
      <c r="N46" s="10"/>
      <c r="O46" s="10"/>
      <c r="P46" s="10"/>
      <c r="Q46" s="10"/>
    </row>
    <row r="47" spans="12:17" x14ac:dyDescent="0.3">
      <c r="L47" s="10"/>
      <c r="M47" s="10"/>
      <c r="N47" s="10"/>
      <c r="O47" s="10"/>
      <c r="P47" s="10"/>
      <c r="Q47" s="10"/>
    </row>
    <row r="48" spans="12:17" x14ac:dyDescent="0.3">
      <c r="L48" s="10"/>
      <c r="M48" s="10"/>
      <c r="N48" s="10"/>
      <c r="O48" s="10"/>
      <c r="P48" s="10"/>
      <c r="Q48" s="10"/>
    </row>
    <row r="49" spans="12:17" x14ac:dyDescent="0.3">
      <c r="L49" s="10"/>
      <c r="M49" s="10"/>
      <c r="N49" s="10"/>
      <c r="O49" s="10"/>
      <c r="P49" s="10"/>
      <c r="Q49" s="10"/>
    </row>
    <row r="50" spans="12:17" x14ac:dyDescent="0.3">
      <c r="L50" s="10"/>
      <c r="M50" s="10"/>
      <c r="N50" s="10"/>
      <c r="O50" s="10"/>
      <c r="P50" s="10"/>
      <c r="Q50" s="10"/>
    </row>
    <row r="51" spans="12:17" x14ac:dyDescent="0.3">
      <c r="L51" s="10"/>
      <c r="M51" s="10"/>
      <c r="N51" s="10"/>
      <c r="O51" s="10"/>
      <c r="P51" s="10"/>
      <c r="Q51" s="10"/>
    </row>
    <row r="52" spans="12:17" x14ac:dyDescent="0.3">
      <c r="L52" s="10"/>
      <c r="M52" s="10"/>
      <c r="N52" s="10"/>
      <c r="O52" s="10"/>
      <c r="P52" s="10"/>
      <c r="Q52" s="10"/>
    </row>
    <row r="53" spans="12:17" x14ac:dyDescent="0.3">
      <c r="L53" s="10"/>
      <c r="M53" s="10"/>
      <c r="N53" s="10"/>
      <c r="O53" s="10"/>
      <c r="P53" s="10"/>
      <c r="Q53" s="10"/>
    </row>
    <row r="54" spans="12:17" x14ac:dyDescent="0.3">
      <c r="L54" s="10"/>
      <c r="M54" s="10"/>
      <c r="N54" s="10"/>
      <c r="O54" s="10"/>
      <c r="P54" s="10"/>
      <c r="Q54" s="10"/>
    </row>
    <row r="55" spans="12:17" x14ac:dyDescent="0.3">
      <c r="L55" s="10"/>
      <c r="M55" s="10"/>
      <c r="N55" s="10"/>
      <c r="O55" s="10"/>
      <c r="P55" s="10"/>
      <c r="Q55" s="10"/>
    </row>
    <row r="56" spans="12:17" x14ac:dyDescent="0.3">
      <c r="L56" s="10"/>
      <c r="M56" s="10"/>
      <c r="N56" s="10"/>
      <c r="O56" s="10"/>
      <c r="P56" s="10"/>
      <c r="Q56" s="10"/>
    </row>
    <row r="57" spans="12:17" x14ac:dyDescent="0.3">
      <c r="L57" s="10"/>
      <c r="M57" s="10"/>
      <c r="N57" s="10"/>
      <c r="O57" s="10"/>
      <c r="P57" s="10"/>
      <c r="Q57" s="10"/>
    </row>
    <row r="58" spans="12:17" x14ac:dyDescent="0.3">
      <c r="L58" s="10"/>
      <c r="M58" s="10"/>
      <c r="N58" s="10"/>
      <c r="O58" s="10"/>
      <c r="P58" s="10"/>
      <c r="Q58" s="10"/>
    </row>
    <row r="59" spans="12:17" x14ac:dyDescent="0.3">
      <c r="L59" s="10"/>
      <c r="M59" s="10"/>
      <c r="N59" s="10"/>
      <c r="O59" s="10"/>
      <c r="P59" s="10"/>
      <c r="Q59" s="10"/>
    </row>
    <row r="60" spans="12:17" x14ac:dyDescent="0.3">
      <c r="L60" s="10"/>
      <c r="M60" s="10"/>
      <c r="N60" s="10"/>
      <c r="O60" s="10"/>
      <c r="P60" s="10"/>
      <c r="Q60" s="10"/>
    </row>
    <row r="61" spans="12:17" x14ac:dyDescent="0.3">
      <c r="L61" s="10"/>
      <c r="M61" s="10"/>
      <c r="N61" s="10"/>
      <c r="O61" s="10"/>
      <c r="P61" s="10"/>
      <c r="Q61" s="10"/>
    </row>
    <row r="62" spans="12:17" x14ac:dyDescent="0.3">
      <c r="L62" s="10"/>
      <c r="M62" s="10"/>
      <c r="N62" s="10"/>
      <c r="O62" s="10"/>
      <c r="P62" s="10"/>
      <c r="Q62" s="10"/>
    </row>
    <row r="63" spans="12:17" x14ac:dyDescent="0.3">
      <c r="L63" s="10"/>
      <c r="M63" s="10"/>
      <c r="N63" s="10"/>
      <c r="O63" s="10"/>
      <c r="P63" s="10"/>
      <c r="Q63" s="10"/>
    </row>
    <row r="64" spans="12:17" x14ac:dyDescent="0.3">
      <c r="L64" s="10"/>
      <c r="M64" s="10"/>
      <c r="N64" s="10"/>
      <c r="O64" s="10"/>
      <c r="P64" s="10"/>
      <c r="Q64" s="10"/>
    </row>
    <row r="65" spans="12:17" x14ac:dyDescent="0.3">
      <c r="L65" s="10"/>
      <c r="M65" s="10"/>
      <c r="N65" s="10"/>
      <c r="O65" s="10"/>
      <c r="P65" s="10"/>
      <c r="Q65" s="10"/>
    </row>
    <row r="66" spans="12:17" x14ac:dyDescent="0.3">
      <c r="L66" s="10"/>
      <c r="M66" s="10"/>
      <c r="N66" s="10"/>
      <c r="O66" s="10"/>
      <c r="P66" s="10"/>
      <c r="Q66" s="10"/>
    </row>
    <row r="67" spans="12:17" x14ac:dyDescent="0.3">
      <c r="L67" s="10"/>
      <c r="M67" s="10"/>
      <c r="N67" s="10"/>
      <c r="O67" s="10"/>
      <c r="P67" s="10"/>
      <c r="Q67" s="10"/>
    </row>
    <row r="68" spans="12:17" x14ac:dyDescent="0.3">
      <c r="L68" s="10"/>
      <c r="M68" s="10"/>
      <c r="N68" s="10"/>
      <c r="O68" s="10"/>
      <c r="P68" s="10"/>
      <c r="Q68" s="10"/>
    </row>
    <row r="69" spans="12:17" x14ac:dyDescent="0.3">
      <c r="L69" s="10"/>
      <c r="M69" s="10"/>
      <c r="N69" s="10"/>
      <c r="O69" s="10"/>
      <c r="P69" s="10"/>
      <c r="Q69" s="10"/>
    </row>
    <row r="70" spans="12:17" x14ac:dyDescent="0.3">
      <c r="L70" s="10"/>
      <c r="M70" s="10"/>
      <c r="N70" s="10"/>
      <c r="O70" s="10"/>
      <c r="P70" s="10"/>
      <c r="Q70" s="10"/>
    </row>
    <row r="71" spans="12:17" x14ac:dyDescent="0.3">
      <c r="L71" s="10"/>
      <c r="M71" s="10"/>
      <c r="N71" s="10"/>
      <c r="O71" s="10"/>
      <c r="P71" s="10"/>
      <c r="Q71" s="10"/>
    </row>
    <row r="72" spans="12:17" x14ac:dyDescent="0.3">
      <c r="L72" s="10"/>
      <c r="M72" s="10"/>
      <c r="N72" s="10"/>
      <c r="O72" s="10"/>
      <c r="P72" s="10"/>
      <c r="Q72" s="10"/>
    </row>
    <row r="73" spans="12:17" x14ac:dyDescent="0.3">
      <c r="L73" s="10"/>
      <c r="M73" s="10"/>
      <c r="N73" s="10"/>
      <c r="O73" s="10"/>
      <c r="P73" s="10"/>
      <c r="Q73" s="10"/>
    </row>
    <row r="74" spans="12:17" x14ac:dyDescent="0.3">
      <c r="L74" s="10"/>
      <c r="M74" s="10"/>
      <c r="N74" s="10"/>
      <c r="O74" s="10"/>
      <c r="P74" s="10"/>
      <c r="Q74" s="10"/>
    </row>
    <row r="75" spans="12:17" x14ac:dyDescent="0.3">
      <c r="L75" s="10"/>
      <c r="M75" s="10"/>
      <c r="N75" s="10"/>
      <c r="O75" s="10"/>
      <c r="P75" s="10"/>
      <c r="Q75" s="10"/>
    </row>
    <row r="76" spans="12:17" x14ac:dyDescent="0.3">
      <c r="L76" s="10"/>
      <c r="M76" s="10"/>
      <c r="N76" s="10"/>
      <c r="O76" s="10"/>
      <c r="P76" s="10"/>
      <c r="Q76" s="10"/>
    </row>
    <row r="77" spans="12:17" x14ac:dyDescent="0.3">
      <c r="L77" s="10"/>
      <c r="M77" s="10"/>
      <c r="N77" s="10"/>
      <c r="O77" s="10"/>
      <c r="P77" s="10"/>
      <c r="Q77" s="10"/>
    </row>
    <row r="78" spans="12:17" x14ac:dyDescent="0.3">
      <c r="L78" s="10"/>
      <c r="M78" s="10"/>
      <c r="N78" s="10"/>
      <c r="O78" s="10"/>
      <c r="P78" s="10"/>
      <c r="Q78" s="10"/>
    </row>
    <row r="79" spans="12:17" x14ac:dyDescent="0.3">
      <c r="L79" s="10"/>
      <c r="M79" s="10"/>
      <c r="N79" s="10"/>
      <c r="O79" s="10"/>
      <c r="P79" s="10"/>
      <c r="Q79" s="10"/>
    </row>
    <row r="80" spans="12:17" x14ac:dyDescent="0.3">
      <c r="L80" s="10"/>
      <c r="M80" s="10"/>
      <c r="N80" s="10"/>
      <c r="O80" s="10"/>
      <c r="P80" s="10"/>
      <c r="Q80" s="10"/>
    </row>
    <row r="81" spans="12:17" x14ac:dyDescent="0.3">
      <c r="L81" s="10"/>
      <c r="M81" s="10"/>
      <c r="N81" s="10"/>
      <c r="O81" s="10"/>
      <c r="P81" s="10"/>
      <c r="Q81" s="10"/>
    </row>
    <row r="82" spans="12:17" x14ac:dyDescent="0.3">
      <c r="L82" s="10"/>
      <c r="M82" s="10"/>
      <c r="N82" s="10"/>
      <c r="O82" s="10"/>
      <c r="P82" s="10"/>
      <c r="Q82" s="10"/>
    </row>
    <row r="83" spans="12:17" x14ac:dyDescent="0.3">
      <c r="L83" s="10"/>
      <c r="M83" s="10"/>
      <c r="N83" s="10"/>
      <c r="O83" s="10"/>
      <c r="P83" s="10"/>
      <c r="Q83" s="10"/>
    </row>
    <row r="84" spans="12:17" x14ac:dyDescent="0.3">
      <c r="L84" s="10"/>
      <c r="M84" s="10"/>
      <c r="N84" s="10"/>
      <c r="O84" s="10"/>
      <c r="P84" s="10"/>
      <c r="Q84" s="10"/>
    </row>
    <row r="85" spans="12:17" x14ac:dyDescent="0.3">
      <c r="L85" s="10"/>
      <c r="M85" s="10"/>
      <c r="N85" s="10"/>
      <c r="O85" s="10"/>
      <c r="P85" s="10"/>
      <c r="Q85" s="10"/>
    </row>
    <row r="86" spans="12:17" x14ac:dyDescent="0.3">
      <c r="L86" s="10"/>
      <c r="M86" s="10"/>
      <c r="N86" s="10"/>
      <c r="O86" s="10"/>
      <c r="P86" s="10"/>
      <c r="Q86" s="10"/>
    </row>
    <row r="87" spans="12:17" x14ac:dyDescent="0.3">
      <c r="L87" s="10"/>
      <c r="M87" s="10"/>
      <c r="N87" s="10"/>
      <c r="O87" s="10"/>
      <c r="P87" s="10"/>
      <c r="Q87" s="10"/>
    </row>
    <row r="88" spans="12:17" x14ac:dyDescent="0.3">
      <c r="L88" s="10"/>
      <c r="M88" s="10"/>
      <c r="N88" s="10"/>
      <c r="O88" s="10"/>
      <c r="P88" s="10"/>
      <c r="Q88" s="10"/>
    </row>
    <row r="89" spans="12:17" x14ac:dyDescent="0.3">
      <c r="L89" s="10"/>
      <c r="M89" s="10"/>
      <c r="N89" s="10"/>
      <c r="O89" s="10"/>
      <c r="P89" s="10"/>
      <c r="Q89" s="10"/>
    </row>
    <row r="90" spans="12:17" x14ac:dyDescent="0.3">
      <c r="L90" s="10"/>
      <c r="M90" s="10"/>
      <c r="N90" s="10"/>
      <c r="O90" s="10"/>
      <c r="P90" s="10"/>
      <c r="Q90" s="10"/>
    </row>
    <row r="91" spans="12:17" x14ac:dyDescent="0.3">
      <c r="L91" s="10"/>
      <c r="M91" s="10"/>
      <c r="N91" s="10"/>
      <c r="O91" s="10"/>
      <c r="P91" s="10"/>
      <c r="Q91" s="10"/>
    </row>
    <row r="92" spans="12:17" x14ac:dyDescent="0.3">
      <c r="L92" s="10"/>
      <c r="M92" s="10"/>
      <c r="N92" s="10"/>
      <c r="O92" s="10"/>
      <c r="P92" s="10"/>
      <c r="Q92" s="10"/>
    </row>
    <row r="93" spans="12:17" x14ac:dyDescent="0.3">
      <c r="L93" s="10"/>
      <c r="M93" s="10"/>
      <c r="N93" s="10"/>
      <c r="O93" s="10"/>
      <c r="P93" s="10"/>
      <c r="Q93" s="10"/>
    </row>
    <row r="94" spans="12:17" x14ac:dyDescent="0.3">
      <c r="L94" s="10"/>
      <c r="M94" s="10"/>
      <c r="N94" s="10"/>
      <c r="O94" s="10"/>
      <c r="P94" s="10"/>
      <c r="Q94" s="10"/>
    </row>
    <row r="95" spans="12:17" x14ac:dyDescent="0.3">
      <c r="L95" s="10"/>
      <c r="M95" s="10"/>
      <c r="N95" s="10"/>
      <c r="O95" s="10"/>
      <c r="P95" s="10"/>
      <c r="Q95" s="10"/>
    </row>
    <row r="96" spans="12:17" x14ac:dyDescent="0.3">
      <c r="L96" s="10"/>
      <c r="M96" s="10"/>
      <c r="N96" s="10"/>
      <c r="O96" s="10"/>
      <c r="P96" s="10"/>
      <c r="Q96" s="10"/>
    </row>
    <row r="97" spans="12:17" x14ac:dyDescent="0.3">
      <c r="L97" s="10"/>
      <c r="M97" s="10"/>
      <c r="N97" s="10"/>
      <c r="O97" s="10"/>
      <c r="P97" s="10"/>
      <c r="Q97" s="10"/>
    </row>
    <row r="98" spans="12:17" x14ac:dyDescent="0.3">
      <c r="L98" s="10"/>
      <c r="M98" s="10"/>
      <c r="N98" s="10"/>
      <c r="O98" s="10"/>
      <c r="P98" s="10"/>
      <c r="Q98" s="10"/>
    </row>
    <row r="99" spans="12:17" x14ac:dyDescent="0.3">
      <c r="L99" s="10"/>
      <c r="M99" s="10"/>
      <c r="N99" s="10"/>
      <c r="O99" s="10"/>
      <c r="P99" s="10"/>
      <c r="Q99" s="10"/>
    </row>
    <row r="100" spans="12:17" x14ac:dyDescent="0.3">
      <c r="L100" s="10"/>
      <c r="M100" s="10"/>
      <c r="N100" s="10"/>
      <c r="O100" s="10"/>
      <c r="P100" s="10"/>
      <c r="Q100" s="10"/>
    </row>
    <row r="101" spans="12:17" x14ac:dyDescent="0.3">
      <c r="L101" s="10"/>
      <c r="M101" s="10"/>
      <c r="N101" s="10"/>
      <c r="O101" s="10"/>
      <c r="P101" s="10"/>
      <c r="Q101" s="10"/>
    </row>
    <row r="138" spans="22:27" ht="14.5" x14ac:dyDescent="0.35">
      <c r="V138" s="9" t="s">
        <v>42</v>
      </c>
      <c r="W138" s="9" t="s">
        <v>43</v>
      </c>
      <c r="X138" s="9" t="s">
        <v>44</v>
      </c>
      <c r="Y138"/>
      <c r="Z138"/>
      <c r="AA138"/>
    </row>
    <row r="139" spans="22:27" x14ac:dyDescent="0.3">
      <c r="V139" s="12" t="s">
        <v>22</v>
      </c>
      <c r="W139" s="12" t="s">
        <v>22</v>
      </c>
      <c r="X139" s="12" t="s">
        <v>22</v>
      </c>
      <c r="Y139" s="12" t="str">
        <f>V139&amp;W139&amp;X139</f>
        <v>InsignificantInsignificantInsignificant</v>
      </c>
      <c r="Z139" s="10" t="s">
        <v>65</v>
      </c>
      <c r="AA139" s="10" t="s">
        <v>22</v>
      </c>
    </row>
    <row r="140" spans="22:27" x14ac:dyDescent="0.3">
      <c r="V140" s="12" t="s">
        <v>22</v>
      </c>
      <c r="W140" s="12" t="s">
        <v>22</v>
      </c>
      <c r="X140" s="12" t="s">
        <v>20</v>
      </c>
      <c r="Y140" s="12" t="str">
        <f>V140&amp;W140&amp;X140</f>
        <v>InsignificantInsignificantModerate</v>
      </c>
      <c r="Z140" s="10" t="s">
        <v>65</v>
      </c>
      <c r="AA140" s="10" t="s">
        <v>22</v>
      </c>
    </row>
    <row r="141" spans="22:27" x14ac:dyDescent="0.3">
      <c r="V141" s="12" t="s">
        <v>22</v>
      </c>
      <c r="W141" s="12" t="s">
        <v>20</v>
      </c>
      <c r="X141" s="12" t="s">
        <v>22</v>
      </c>
      <c r="Y141" s="12" t="str">
        <f>V141&amp;W141&amp;X141</f>
        <v>InsignificantModerateInsignificant</v>
      </c>
      <c r="Z141" s="10" t="s">
        <v>65</v>
      </c>
      <c r="AA141" s="10" t="s">
        <v>22</v>
      </c>
    </row>
    <row r="142" spans="22:27" x14ac:dyDescent="0.3">
      <c r="V142" s="12" t="s">
        <v>20</v>
      </c>
      <c r="W142" s="12" t="s">
        <v>22</v>
      </c>
      <c r="X142" s="12" t="s">
        <v>22</v>
      </c>
      <c r="Y142" s="12" t="str">
        <f t="shared" ref="Y142:Y202" si="1">V142&amp;W142&amp;X142</f>
        <v>ModerateInsignificantInsignificant</v>
      </c>
      <c r="Z142" s="10" t="s">
        <v>65</v>
      </c>
      <c r="AA142" s="10" t="s">
        <v>22</v>
      </c>
    </row>
    <row r="143" spans="22:27" x14ac:dyDescent="0.3">
      <c r="V143" s="12" t="s">
        <v>22</v>
      </c>
      <c r="W143" s="12" t="s">
        <v>20</v>
      </c>
      <c r="X143" s="12" t="s">
        <v>20</v>
      </c>
      <c r="Y143" s="12" t="str">
        <f t="shared" si="1"/>
        <v>InsignificantModerateModerate</v>
      </c>
      <c r="Z143" s="10" t="s">
        <v>19</v>
      </c>
      <c r="AA143" s="10" t="s">
        <v>206</v>
      </c>
    </row>
    <row r="144" spans="22:27" x14ac:dyDescent="0.3">
      <c r="V144" s="12" t="s">
        <v>20</v>
      </c>
      <c r="W144" s="12" t="s">
        <v>22</v>
      </c>
      <c r="X144" s="12" t="s">
        <v>20</v>
      </c>
      <c r="Y144" s="12" t="str">
        <f t="shared" si="1"/>
        <v>ModerateInsignificantModerate</v>
      </c>
      <c r="Z144" s="10" t="s">
        <v>19</v>
      </c>
      <c r="AA144" s="10" t="s">
        <v>206</v>
      </c>
    </row>
    <row r="145" spans="22:27" x14ac:dyDescent="0.3">
      <c r="V145" s="12" t="s">
        <v>20</v>
      </c>
      <c r="W145" s="12" t="s">
        <v>20</v>
      </c>
      <c r="X145" s="12" t="s">
        <v>22</v>
      </c>
      <c r="Y145" s="12" t="str">
        <f t="shared" si="1"/>
        <v>ModerateModerateInsignificant</v>
      </c>
      <c r="Z145" s="10" t="s">
        <v>19</v>
      </c>
      <c r="AA145" s="10" t="s">
        <v>206</v>
      </c>
    </row>
    <row r="146" spans="22:27" x14ac:dyDescent="0.3">
      <c r="V146" s="12" t="s">
        <v>22</v>
      </c>
      <c r="W146" s="12" t="s">
        <v>22</v>
      </c>
      <c r="X146" s="12" t="s">
        <v>23</v>
      </c>
      <c r="Y146" s="12" t="str">
        <f t="shared" si="1"/>
        <v>InsignificantInsignificantSerious</v>
      </c>
      <c r="Z146" s="10" t="s">
        <v>28</v>
      </c>
      <c r="AA146" s="10" t="s">
        <v>207</v>
      </c>
    </row>
    <row r="147" spans="22:27" x14ac:dyDescent="0.3">
      <c r="V147" s="12" t="s">
        <v>22</v>
      </c>
      <c r="W147" s="12" t="s">
        <v>23</v>
      </c>
      <c r="X147" s="12" t="s">
        <v>22</v>
      </c>
      <c r="Y147" s="12" t="str">
        <f t="shared" si="1"/>
        <v>InsignificantSeriousInsignificant</v>
      </c>
      <c r="Z147" s="10" t="s">
        <v>28</v>
      </c>
      <c r="AA147" s="10" t="s">
        <v>207</v>
      </c>
    </row>
    <row r="148" spans="22:27" x14ac:dyDescent="0.3">
      <c r="V148" s="12" t="s">
        <v>23</v>
      </c>
      <c r="W148" s="12" t="s">
        <v>22</v>
      </c>
      <c r="X148" s="12" t="s">
        <v>22</v>
      </c>
      <c r="Y148" s="12" t="str">
        <f t="shared" si="1"/>
        <v>SeriousInsignificantInsignificant</v>
      </c>
      <c r="Z148" s="10" t="s">
        <v>28</v>
      </c>
      <c r="AA148" s="10" t="s">
        <v>207</v>
      </c>
    </row>
    <row r="149" spans="22:27" x14ac:dyDescent="0.3">
      <c r="V149" s="12" t="s">
        <v>20</v>
      </c>
      <c r="W149" s="12" t="s">
        <v>20</v>
      </c>
      <c r="X149" s="12" t="s">
        <v>20</v>
      </c>
      <c r="Y149" s="12" t="str">
        <f t="shared" si="1"/>
        <v>ModerateModerateModerate</v>
      </c>
      <c r="Z149" s="10" t="s">
        <v>19</v>
      </c>
      <c r="AA149" s="10" t="s">
        <v>206</v>
      </c>
    </row>
    <row r="150" spans="22:27" x14ac:dyDescent="0.3">
      <c r="V150" s="12" t="s">
        <v>22</v>
      </c>
      <c r="W150" s="12" t="s">
        <v>20</v>
      </c>
      <c r="X150" s="12" t="s">
        <v>23</v>
      </c>
      <c r="Y150" s="12" t="str">
        <f t="shared" si="1"/>
        <v>InsignificantModerateSerious</v>
      </c>
      <c r="Z150" s="10" t="s">
        <v>28</v>
      </c>
      <c r="AA150" s="10" t="s">
        <v>207</v>
      </c>
    </row>
    <row r="151" spans="22:27" x14ac:dyDescent="0.3">
      <c r="V151" s="12" t="s">
        <v>22</v>
      </c>
      <c r="W151" s="12" t="s">
        <v>23</v>
      </c>
      <c r="X151" s="12" t="s">
        <v>20</v>
      </c>
      <c r="Y151" s="12" t="str">
        <f t="shared" si="1"/>
        <v>InsignificantSeriousModerate</v>
      </c>
      <c r="Z151" s="10" t="s">
        <v>28</v>
      </c>
      <c r="AA151" s="10" t="s">
        <v>207</v>
      </c>
    </row>
    <row r="152" spans="22:27" x14ac:dyDescent="0.3">
      <c r="V152" s="12" t="s">
        <v>20</v>
      </c>
      <c r="W152" s="12" t="s">
        <v>22</v>
      </c>
      <c r="X152" s="12" t="s">
        <v>23</v>
      </c>
      <c r="Y152" s="12" t="str">
        <f t="shared" si="1"/>
        <v>ModerateInsignificantSerious</v>
      </c>
      <c r="Z152" s="10" t="s">
        <v>28</v>
      </c>
      <c r="AA152" s="10" t="s">
        <v>207</v>
      </c>
    </row>
    <row r="153" spans="22:27" x14ac:dyDescent="0.3">
      <c r="V153" s="12" t="s">
        <v>20</v>
      </c>
      <c r="W153" s="12" t="s">
        <v>23</v>
      </c>
      <c r="X153" s="12" t="s">
        <v>22</v>
      </c>
      <c r="Y153" s="12" t="str">
        <f t="shared" si="1"/>
        <v>ModerateSeriousInsignificant</v>
      </c>
      <c r="Z153" s="10" t="s">
        <v>28</v>
      </c>
      <c r="AA153" s="10" t="s">
        <v>207</v>
      </c>
    </row>
    <row r="154" spans="22:27" x14ac:dyDescent="0.3">
      <c r="V154" s="12" t="s">
        <v>23</v>
      </c>
      <c r="W154" s="12" t="s">
        <v>22</v>
      </c>
      <c r="X154" s="12" t="s">
        <v>20</v>
      </c>
      <c r="Y154" s="12" t="str">
        <f t="shared" si="1"/>
        <v>SeriousInsignificantModerate</v>
      </c>
      <c r="Z154" s="10" t="s">
        <v>28</v>
      </c>
      <c r="AA154" s="10" t="s">
        <v>207</v>
      </c>
    </row>
    <row r="155" spans="22:27" x14ac:dyDescent="0.3">
      <c r="V155" s="12" t="s">
        <v>23</v>
      </c>
      <c r="W155" s="12" t="s">
        <v>20</v>
      </c>
      <c r="X155" s="12" t="s">
        <v>22</v>
      </c>
      <c r="Y155" s="12" t="str">
        <f t="shared" si="1"/>
        <v>SeriousModerateInsignificant</v>
      </c>
      <c r="Z155" s="10" t="s">
        <v>28</v>
      </c>
      <c r="AA155" s="10" t="s">
        <v>207</v>
      </c>
    </row>
    <row r="156" spans="22:27" x14ac:dyDescent="0.3">
      <c r="V156" s="12" t="s">
        <v>20</v>
      </c>
      <c r="W156" s="12" t="s">
        <v>20</v>
      </c>
      <c r="X156" s="12" t="s">
        <v>23</v>
      </c>
      <c r="Y156" s="12" t="str">
        <f t="shared" si="1"/>
        <v>ModerateModerateSerious</v>
      </c>
      <c r="Z156" s="10" t="s">
        <v>28</v>
      </c>
      <c r="AA156" s="10" t="s">
        <v>207</v>
      </c>
    </row>
    <row r="157" spans="22:27" x14ac:dyDescent="0.3">
      <c r="V157" s="12" t="s">
        <v>20</v>
      </c>
      <c r="W157" s="12" t="s">
        <v>23</v>
      </c>
      <c r="X157" s="12" t="s">
        <v>20</v>
      </c>
      <c r="Y157" s="12" t="str">
        <f t="shared" si="1"/>
        <v>ModerateSeriousModerate</v>
      </c>
      <c r="Z157" s="10" t="s">
        <v>28</v>
      </c>
      <c r="AA157" s="10" t="s">
        <v>207</v>
      </c>
    </row>
    <row r="158" spans="22:27" x14ac:dyDescent="0.3">
      <c r="V158" s="12" t="s">
        <v>23</v>
      </c>
      <c r="W158" s="12" t="s">
        <v>20</v>
      </c>
      <c r="X158" s="12" t="s">
        <v>20</v>
      </c>
      <c r="Y158" s="12" t="str">
        <f t="shared" si="1"/>
        <v>SeriousModerateModerate</v>
      </c>
      <c r="Z158" s="10" t="s">
        <v>28</v>
      </c>
      <c r="AA158" s="10" t="s">
        <v>207</v>
      </c>
    </row>
    <row r="159" spans="22:27" x14ac:dyDescent="0.3">
      <c r="V159" s="12" t="s">
        <v>22</v>
      </c>
      <c r="W159" s="12" t="s">
        <v>22</v>
      </c>
      <c r="X159" s="12" t="s">
        <v>24</v>
      </c>
      <c r="Y159" s="12" t="str">
        <f t="shared" si="1"/>
        <v>InsignificantInsignificantExtreme</v>
      </c>
      <c r="Z159" s="10" t="s">
        <v>21</v>
      </c>
      <c r="AA159" s="10" t="s">
        <v>208</v>
      </c>
    </row>
    <row r="160" spans="22:27" x14ac:dyDescent="0.3">
      <c r="V160" s="12" t="s">
        <v>22</v>
      </c>
      <c r="W160" s="12" t="s">
        <v>24</v>
      </c>
      <c r="X160" s="12" t="s">
        <v>22</v>
      </c>
      <c r="Y160" s="12" t="str">
        <f t="shared" si="1"/>
        <v>InsignificantExtremeInsignificant</v>
      </c>
      <c r="Z160" s="10" t="s">
        <v>21</v>
      </c>
      <c r="AA160" s="10" t="s">
        <v>208</v>
      </c>
    </row>
    <row r="161" spans="22:27" x14ac:dyDescent="0.3">
      <c r="V161" s="12" t="s">
        <v>24</v>
      </c>
      <c r="W161" s="12" t="s">
        <v>22</v>
      </c>
      <c r="X161" s="12" t="s">
        <v>22</v>
      </c>
      <c r="Y161" s="12" t="str">
        <f t="shared" si="1"/>
        <v>ExtremeInsignificantInsignificant</v>
      </c>
      <c r="Z161" s="10" t="s">
        <v>21</v>
      </c>
      <c r="AA161" s="10" t="s">
        <v>208</v>
      </c>
    </row>
    <row r="162" spans="22:27" x14ac:dyDescent="0.3">
      <c r="V162" s="12" t="s">
        <v>22</v>
      </c>
      <c r="W162" s="12" t="s">
        <v>23</v>
      </c>
      <c r="X162" s="12" t="s">
        <v>23</v>
      </c>
      <c r="Y162" s="12" t="str">
        <f t="shared" si="1"/>
        <v>InsignificantSeriousSerious</v>
      </c>
      <c r="Z162" s="10" t="s">
        <v>21</v>
      </c>
      <c r="AA162" s="10" t="s">
        <v>208</v>
      </c>
    </row>
    <row r="163" spans="22:27" x14ac:dyDescent="0.3">
      <c r="V163" s="12" t="s">
        <v>23</v>
      </c>
      <c r="W163" s="12" t="s">
        <v>22</v>
      </c>
      <c r="X163" s="12" t="s">
        <v>23</v>
      </c>
      <c r="Y163" s="12" t="str">
        <f t="shared" si="1"/>
        <v>SeriousInsignificantSerious</v>
      </c>
      <c r="Z163" s="10" t="s">
        <v>21</v>
      </c>
      <c r="AA163" s="10" t="s">
        <v>208</v>
      </c>
    </row>
    <row r="164" spans="22:27" x14ac:dyDescent="0.3">
      <c r="V164" s="12" t="s">
        <v>23</v>
      </c>
      <c r="W164" s="12" t="s">
        <v>23</v>
      </c>
      <c r="X164" s="12" t="s">
        <v>22</v>
      </c>
      <c r="Y164" s="12" t="str">
        <f t="shared" si="1"/>
        <v>SeriousSeriousInsignificant</v>
      </c>
      <c r="Z164" s="10" t="s">
        <v>21</v>
      </c>
      <c r="AA164" s="10" t="s">
        <v>208</v>
      </c>
    </row>
    <row r="165" spans="22:27" x14ac:dyDescent="0.3">
      <c r="V165" s="12" t="s">
        <v>22</v>
      </c>
      <c r="W165" s="12" t="s">
        <v>20</v>
      </c>
      <c r="X165" s="12" t="s">
        <v>24</v>
      </c>
      <c r="Y165" s="12" t="str">
        <f t="shared" si="1"/>
        <v>InsignificantModerateExtreme</v>
      </c>
      <c r="Z165" s="10" t="s">
        <v>21</v>
      </c>
      <c r="AA165" s="10" t="s">
        <v>208</v>
      </c>
    </row>
    <row r="166" spans="22:27" x14ac:dyDescent="0.3">
      <c r="V166" s="12" t="s">
        <v>22</v>
      </c>
      <c r="W166" s="12" t="s">
        <v>24</v>
      </c>
      <c r="X166" s="12" t="s">
        <v>20</v>
      </c>
      <c r="Y166" s="12" t="str">
        <f t="shared" si="1"/>
        <v>InsignificantExtremeModerate</v>
      </c>
      <c r="Z166" s="10" t="s">
        <v>21</v>
      </c>
      <c r="AA166" s="10" t="s">
        <v>208</v>
      </c>
    </row>
    <row r="167" spans="22:27" x14ac:dyDescent="0.3">
      <c r="V167" s="12" t="s">
        <v>20</v>
      </c>
      <c r="W167" s="12" t="s">
        <v>22</v>
      </c>
      <c r="X167" s="12" t="s">
        <v>24</v>
      </c>
      <c r="Y167" s="12" t="str">
        <f t="shared" si="1"/>
        <v>ModerateInsignificantExtreme</v>
      </c>
      <c r="Z167" s="10" t="s">
        <v>21</v>
      </c>
      <c r="AA167" s="10" t="s">
        <v>208</v>
      </c>
    </row>
    <row r="168" spans="22:27" x14ac:dyDescent="0.3">
      <c r="V168" s="12" t="s">
        <v>20</v>
      </c>
      <c r="W168" s="12" t="s">
        <v>24</v>
      </c>
      <c r="X168" s="12" t="s">
        <v>22</v>
      </c>
      <c r="Y168" s="12" t="str">
        <f t="shared" si="1"/>
        <v>ModerateExtremeInsignificant</v>
      </c>
      <c r="Z168" s="10" t="s">
        <v>21</v>
      </c>
      <c r="AA168" s="10" t="s">
        <v>208</v>
      </c>
    </row>
    <row r="169" spans="22:27" x14ac:dyDescent="0.3">
      <c r="V169" s="12" t="s">
        <v>24</v>
      </c>
      <c r="W169" s="12" t="s">
        <v>22</v>
      </c>
      <c r="X169" s="12" t="s">
        <v>20</v>
      </c>
      <c r="Y169" s="12" t="str">
        <f t="shared" si="1"/>
        <v>ExtremeInsignificantModerate</v>
      </c>
      <c r="Z169" s="10" t="s">
        <v>21</v>
      </c>
      <c r="AA169" s="10" t="s">
        <v>208</v>
      </c>
    </row>
    <row r="170" spans="22:27" x14ac:dyDescent="0.3">
      <c r="V170" s="12" t="s">
        <v>24</v>
      </c>
      <c r="W170" s="12" t="s">
        <v>20</v>
      </c>
      <c r="X170" s="12" t="s">
        <v>22</v>
      </c>
      <c r="Y170" s="12" t="str">
        <f t="shared" si="1"/>
        <v>ExtremeModerateInsignificant</v>
      </c>
      <c r="Z170" s="10" t="s">
        <v>21</v>
      </c>
      <c r="AA170" s="10" t="s">
        <v>208</v>
      </c>
    </row>
    <row r="171" spans="22:27" x14ac:dyDescent="0.3">
      <c r="V171" s="12" t="s">
        <v>20</v>
      </c>
      <c r="W171" s="12" t="s">
        <v>23</v>
      </c>
      <c r="X171" s="12" t="s">
        <v>23</v>
      </c>
      <c r="Y171" s="12" t="str">
        <f t="shared" si="1"/>
        <v>ModerateSeriousSerious</v>
      </c>
      <c r="Z171" s="10" t="s">
        <v>21</v>
      </c>
      <c r="AA171" s="10" t="s">
        <v>208</v>
      </c>
    </row>
    <row r="172" spans="22:27" x14ac:dyDescent="0.3">
      <c r="V172" s="12" t="s">
        <v>23</v>
      </c>
      <c r="W172" s="12" t="s">
        <v>20</v>
      </c>
      <c r="X172" s="12" t="s">
        <v>23</v>
      </c>
      <c r="Y172" s="12" t="str">
        <f t="shared" si="1"/>
        <v>SeriousModerateSerious</v>
      </c>
      <c r="Z172" s="10" t="s">
        <v>21</v>
      </c>
      <c r="AA172" s="10" t="s">
        <v>208</v>
      </c>
    </row>
    <row r="173" spans="22:27" x14ac:dyDescent="0.3">
      <c r="V173" s="12" t="s">
        <v>23</v>
      </c>
      <c r="W173" s="12" t="s">
        <v>23</v>
      </c>
      <c r="X173" s="12" t="s">
        <v>20</v>
      </c>
      <c r="Y173" s="12" t="str">
        <f t="shared" si="1"/>
        <v>SeriousSeriousModerate</v>
      </c>
      <c r="Z173" s="10" t="s">
        <v>21</v>
      </c>
      <c r="AA173" s="10" t="s">
        <v>208</v>
      </c>
    </row>
    <row r="174" spans="22:27" x14ac:dyDescent="0.3">
      <c r="V174" s="12" t="s">
        <v>20</v>
      </c>
      <c r="W174" s="12" t="s">
        <v>20</v>
      </c>
      <c r="X174" s="12" t="s">
        <v>24</v>
      </c>
      <c r="Y174" s="12" t="str">
        <f t="shared" si="1"/>
        <v>ModerateModerateExtreme</v>
      </c>
      <c r="Z174" s="10" t="s">
        <v>21</v>
      </c>
      <c r="AA174" s="10" t="s">
        <v>208</v>
      </c>
    </row>
    <row r="175" spans="22:27" x14ac:dyDescent="0.3">
      <c r="V175" s="12" t="s">
        <v>20</v>
      </c>
      <c r="W175" s="12" t="s">
        <v>24</v>
      </c>
      <c r="X175" s="12" t="s">
        <v>20</v>
      </c>
      <c r="Y175" s="12" t="str">
        <f t="shared" si="1"/>
        <v>ModerateExtremeModerate</v>
      </c>
      <c r="Z175" s="10" t="s">
        <v>21</v>
      </c>
      <c r="AA175" s="10" t="s">
        <v>208</v>
      </c>
    </row>
    <row r="176" spans="22:27" x14ac:dyDescent="0.3">
      <c r="V176" s="12" t="s">
        <v>24</v>
      </c>
      <c r="W176" s="12" t="s">
        <v>20</v>
      </c>
      <c r="X176" s="12" t="s">
        <v>20</v>
      </c>
      <c r="Y176" s="12" t="str">
        <f t="shared" si="1"/>
        <v>ExtremeModerateModerate</v>
      </c>
      <c r="Z176" s="10" t="s">
        <v>21</v>
      </c>
      <c r="AA176" s="10" t="s">
        <v>208</v>
      </c>
    </row>
    <row r="177" spans="22:27" x14ac:dyDescent="0.3">
      <c r="V177" s="12" t="s">
        <v>22</v>
      </c>
      <c r="W177" s="12" t="s">
        <v>23</v>
      </c>
      <c r="X177" s="12" t="s">
        <v>24</v>
      </c>
      <c r="Y177" s="12" t="str">
        <f t="shared" si="1"/>
        <v>InsignificantSeriousExtreme</v>
      </c>
      <c r="Z177" s="10" t="s">
        <v>21</v>
      </c>
      <c r="AA177" s="10" t="s">
        <v>208</v>
      </c>
    </row>
    <row r="178" spans="22:27" x14ac:dyDescent="0.3">
      <c r="V178" s="12" t="s">
        <v>22</v>
      </c>
      <c r="W178" s="12" t="s">
        <v>24</v>
      </c>
      <c r="X178" s="12" t="s">
        <v>23</v>
      </c>
      <c r="Y178" s="12" t="str">
        <f t="shared" si="1"/>
        <v>InsignificantExtremeSerious</v>
      </c>
      <c r="Z178" s="10" t="s">
        <v>21</v>
      </c>
      <c r="AA178" s="10" t="s">
        <v>208</v>
      </c>
    </row>
    <row r="179" spans="22:27" x14ac:dyDescent="0.3">
      <c r="V179" s="12" t="s">
        <v>23</v>
      </c>
      <c r="W179" s="12" t="s">
        <v>22</v>
      </c>
      <c r="X179" s="12" t="s">
        <v>24</v>
      </c>
      <c r="Y179" s="12" t="str">
        <f t="shared" si="1"/>
        <v>SeriousInsignificantExtreme</v>
      </c>
      <c r="Z179" s="10" t="s">
        <v>21</v>
      </c>
      <c r="AA179" s="10" t="s">
        <v>208</v>
      </c>
    </row>
    <row r="180" spans="22:27" x14ac:dyDescent="0.3">
      <c r="V180" s="12" t="s">
        <v>23</v>
      </c>
      <c r="W180" s="12" t="s">
        <v>24</v>
      </c>
      <c r="X180" s="12" t="s">
        <v>22</v>
      </c>
      <c r="Y180" s="12" t="str">
        <f t="shared" si="1"/>
        <v>SeriousExtremeInsignificant</v>
      </c>
      <c r="Z180" s="10" t="s">
        <v>21</v>
      </c>
      <c r="AA180" s="10" t="s">
        <v>208</v>
      </c>
    </row>
    <row r="181" spans="22:27" x14ac:dyDescent="0.3">
      <c r="V181" s="12" t="s">
        <v>24</v>
      </c>
      <c r="W181" s="12" t="s">
        <v>22</v>
      </c>
      <c r="X181" s="12" t="s">
        <v>23</v>
      </c>
      <c r="Y181" s="12" t="str">
        <f t="shared" si="1"/>
        <v>ExtremeInsignificantSerious</v>
      </c>
      <c r="Z181" s="10" t="s">
        <v>21</v>
      </c>
      <c r="AA181" s="10" t="s">
        <v>208</v>
      </c>
    </row>
    <row r="182" spans="22:27" x14ac:dyDescent="0.3">
      <c r="V182" s="12" t="s">
        <v>24</v>
      </c>
      <c r="W182" s="12" t="s">
        <v>23</v>
      </c>
      <c r="X182" s="12" t="s">
        <v>22</v>
      </c>
      <c r="Y182" s="12" t="str">
        <f t="shared" si="1"/>
        <v>ExtremeSeriousInsignificant</v>
      </c>
      <c r="Z182" s="10" t="s">
        <v>21</v>
      </c>
      <c r="AA182" s="10" t="s">
        <v>208</v>
      </c>
    </row>
    <row r="183" spans="22:27" x14ac:dyDescent="0.3">
      <c r="V183" s="12" t="s">
        <v>23</v>
      </c>
      <c r="W183" s="12" t="s">
        <v>23</v>
      </c>
      <c r="X183" s="12" t="s">
        <v>23</v>
      </c>
      <c r="Y183" s="12" t="str">
        <f t="shared" si="1"/>
        <v>SeriousSeriousSerious</v>
      </c>
      <c r="Z183" s="10" t="s">
        <v>21</v>
      </c>
      <c r="AA183" s="10" t="s">
        <v>208</v>
      </c>
    </row>
    <row r="184" spans="22:27" x14ac:dyDescent="0.3">
      <c r="V184" s="12" t="s">
        <v>20</v>
      </c>
      <c r="W184" s="12" t="s">
        <v>23</v>
      </c>
      <c r="X184" s="12" t="s">
        <v>24</v>
      </c>
      <c r="Y184" s="12" t="str">
        <f t="shared" si="1"/>
        <v>ModerateSeriousExtreme</v>
      </c>
      <c r="Z184" s="10" t="s">
        <v>21</v>
      </c>
      <c r="AA184" s="10" t="s">
        <v>208</v>
      </c>
    </row>
    <row r="185" spans="22:27" x14ac:dyDescent="0.3">
      <c r="V185" s="12" t="s">
        <v>20</v>
      </c>
      <c r="W185" s="12" t="s">
        <v>24</v>
      </c>
      <c r="X185" s="12" t="s">
        <v>23</v>
      </c>
      <c r="Y185" s="12" t="str">
        <f t="shared" si="1"/>
        <v>ModerateExtremeSerious</v>
      </c>
      <c r="Z185" s="10" t="s">
        <v>21</v>
      </c>
      <c r="AA185" s="10" t="s">
        <v>208</v>
      </c>
    </row>
    <row r="186" spans="22:27" x14ac:dyDescent="0.3">
      <c r="V186" s="12" t="s">
        <v>23</v>
      </c>
      <c r="W186" s="12" t="s">
        <v>20</v>
      </c>
      <c r="X186" s="12" t="s">
        <v>24</v>
      </c>
      <c r="Y186" s="12" t="str">
        <f t="shared" si="1"/>
        <v>SeriousModerateExtreme</v>
      </c>
      <c r="Z186" s="10" t="s">
        <v>21</v>
      </c>
      <c r="AA186" s="10" t="s">
        <v>208</v>
      </c>
    </row>
    <row r="187" spans="22:27" x14ac:dyDescent="0.3">
      <c r="V187" s="12" t="s">
        <v>23</v>
      </c>
      <c r="W187" s="12" t="s">
        <v>24</v>
      </c>
      <c r="X187" s="12" t="s">
        <v>20</v>
      </c>
      <c r="Y187" s="12" t="str">
        <f t="shared" si="1"/>
        <v>SeriousExtremeModerate</v>
      </c>
      <c r="Z187" s="10" t="s">
        <v>21</v>
      </c>
      <c r="AA187" s="10" t="s">
        <v>208</v>
      </c>
    </row>
    <row r="188" spans="22:27" x14ac:dyDescent="0.3">
      <c r="V188" s="12" t="s">
        <v>24</v>
      </c>
      <c r="W188" s="12" t="s">
        <v>20</v>
      </c>
      <c r="X188" s="12" t="s">
        <v>23</v>
      </c>
      <c r="Y188" s="12" t="str">
        <f t="shared" si="1"/>
        <v>ExtremeModerateSerious</v>
      </c>
      <c r="Z188" s="10" t="s">
        <v>21</v>
      </c>
      <c r="AA188" s="10" t="s">
        <v>208</v>
      </c>
    </row>
    <row r="189" spans="22:27" x14ac:dyDescent="0.3">
      <c r="V189" s="12" t="s">
        <v>24</v>
      </c>
      <c r="W189" s="12" t="s">
        <v>23</v>
      </c>
      <c r="X189" s="12" t="s">
        <v>20</v>
      </c>
      <c r="Y189" s="12" t="str">
        <f t="shared" si="1"/>
        <v>ExtremeSeriousModerate</v>
      </c>
      <c r="Z189" s="10" t="s">
        <v>21</v>
      </c>
      <c r="AA189" s="10" t="s">
        <v>208</v>
      </c>
    </row>
    <row r="190" spans="22:27" x14ac:dyDescent="0.3">
      <c r="V190" s="12" t="s">
        <v>22</v>
      </c>
      <c r="W190" s="12" t="s">
        <v>24</v>
      </c>
      <c r="X190" s="12" t="s">
        <v>24</v>
      </c>
      <c r="Y190" s="12" t="str">
        <f t="shared" si="1"/>
        <v>InsignificantExtremeExtreme</v>
      </c>
      <c r="Z190" s="10" t="s">
        <v>66</v>
      </c>
      <c r="AA190" s="10" t="s">
        <v>209</v>
      </c>
    </row>
    <row r="191" spans="22:27" x14ac:dyDescent="0.3">
      <c r="V191" s="12" t="s">
        <v>24</v>
      </c>
      <c r="W191" s="12" t="s">
        <v>22</v>
      </c>
      <c r="X191" s="12" t="s">
        <v>24</v>
      </c>
      <c r="Y191" s="12" t="str">
        <f t="shared" si="1"/>
        <v>ExtremeInsignificantExtreme</v>
      </c>
      <c r="Z191" s="10" t="s">
        <v>66</v>
      </c>
      <c r="AA191" s="10" t="s">
        <v>209</v>
      </c>
    </row>
    <row r="192" spans="22:27" x14ac:dyDescent="0.3">
      <c r="V192" s="12" t="s">
        <v>24</v>
      </c>
      <c r="W192" s="12" t="s">
        <v>24</v>
      </c>
      <c r="X192" s="12" t="s">
        <v>22</v>
      </c>
      <c r="Y192" s="12" t="str">
        <f t="shared" si="1"/>
        <v>ExtremeExtremeInsignificant</v>
      </c>
      <c r="Z192" s="10" t="s">
        <v>66</v>
      </c>
      <c r="AA192" s="10" t="s">
        <v>209</v>
      </c>
    </row>
    <row r="193" spans="22:27" x14ac:dyDescent="0.3">
      <c r="V193" s="12" t="s">
        <v>23</v>
      </c>
      <c r="W193" s="12" t="s">
        <v>23</v>
      </c>
      <c r="X193" s="12" t="s">
        <v>24</v>
      </c>
      <c r="Y193" s="12" t="str">
        <f t="shared" si="1"/>
        <v>SeriousSeriousExtreme</v>
      </c>
      <c r="Z193" s="10" t="s">
        <v>21</v>
      </c>
      <c r="AA193" s="10" t="s">
        <v>208</v>
      </c>
    </row>
    <row r="194" spans="22:27" x14ac:dyDescent="0.3">
      <c r="V194" s="12" t="s">
        <v>23</v>
      </c>
      <c r="W194" s="12" t="s">
        <v>24</v>
      </c>
      <c r="X194" s="12" t="s">
        <v>23</v>
      </c>
      <c r="Y194" s="12" t="str">
        <f t="shared" si="1"/>
        <v>SeriousExtremeSerious</v>
      </c>
      <c r="Z194" s="10" t="s">
        <v>21</v>
      </c>
      <c r="AA194" s="10" t="s">
        <v>208</v>
      </c>
    </row>
    <row r="195" spans="22:27" x14ac:dyDescent="0.3">
      <c r="V195" s="12" t="s">
        <v>24</v>
      </c>
      <c r="W195" s="12" t="s">
        <v>23</v>
      </c>
      <c r="X195" s="12" t="s">
        <v>23</v>
      </c>
      <c r="Y195" s="12" t="str">
        <f t="shared" si="1"/>
        <v>ExtremeSeriousSerious</v>
      </c>
      <c r="Z195" s="10" t="s">
        <v>21</v>
      </c>
      <c r="AA195" s="10" t="s">
        <v>208</v>
      </c>
    </row>
    <row r="196" spans="22:27" x14ac:dyDescent="0.3">
      <c r="V196" s="12" t="s">
        <v>20</v>
      </c>
      <c r="W196" s="12" t="s">
        <v>24</v>
      </c>
      <c r="X196" s="12" t="s">
        <v>24</v>
      </c>
      <c r="Y196" s="12" t="str">
        <f t="shared" si="1"/>
        <v>ModerateExtremeExtreme</v>
      </c>
      <c r="Z196" s="10" t="s">
        <v>66</v>
      </c>
      <c r="AA196" s="10" t="s">
        <v>209</v>
      </c>
    </row>
    <row r="197" spans="22:27" x14ac:dyDescent="0.3">
      <c r="V197" s="12" t="s">
        <v>24</v>
      </c>
      <c r="W197" s="12" t="s">
        <v>20</v>
      </c>
      <c r="X197" s="12" t="s">
        <v>24</v>
      </c>
      <c r="Y197" s="12" t="str">
        <f t="shared" si="1"/>
        <v>ExtremeModerateExtreme</v>
      </c>
      <c r="Z197" s="10" t="s">
        <v>66</v>
      </c>
      <c r="AA197" s="10" t="s">
        <v>209</v>
      </c>
    </row>
    <row r="198" spans="22:27" x14ac:dyDescent="0.3">
      <c r="V198" s="12" t="s">
        <v>24</v>
      </c>
      <c r="W198" s="12" t="s">
        <v>24</v>
      </c>
      <c r="X198" s="12" t="s">
        <v>20</v>
      </c>
      <c r="Y198" s="12" t="str">
        <f t="shared" si="1"/>
        <v>ExtremeExtremeModerate</v>
      </c>
      <c r="Z198" s="10" t="s">
        <v>66</v>
      </c>
      <c r="AA198" s="10" t="s">
        <v>209</v>
      </c>
    </row>
    <row r="199" spans="22:27" x14ac:dyDescent="0.3">
      <c r="V199" s="12" t="s">
        <v>23</v>
      </c>
      <c r="W199" s="12" t="s">
        <v>24</v>
      </c>
      <c r="X199" s="12" t="s">
        <v>24</v>
      </c>
      <c r="Y199" s="12" t="str">
        <f t="shared" si="1"/>
        <v>SeriousExtremeExtreme</v>
      </c>
      <c r="Z199" s="10" t="s">
        <v>66</v>
      </c>
      <c r="AA199" s="10" t="s">
        <v>209</v>
      </c>
    </row>
    <row r="200" spans="22:27" x14ac:dyDescent="0.3">
      <c r="V200" s="12" t="s">
        <v>24</v>
      </c>
      <c r="W200" s="12" t="s">
        <v>23</v>
      </c>
      <c r="X200" s="12" t="s">
        <v>24</v>
      </c>
      <c r="Y200" s="12" t="str">
        <f t="shared" si="1"/>
        <v>ExtremeSeriousExtreme</v>
      </c>
      <c r="Z200" s="10" t="s">
        <v>66</v>
      </c>
      <c r="AA200" s="10" t="s">
        <v>209</v>
      </c>
    </row>
    <row r="201" spans="22:27" x14ac:dyDescent="0.3">
      <c r="V201" s="12" t="s">
        <v>24</v>
      </c>
      <c r="W201" s="12" t="s">
        <v>24</v>
      </c>
      <c r="X201" s="12" t="s">
        <v>23</v>
      </c>
      <c r="Y201" s="12" t="str">
        <f t="shared" si="1"/>
        <v>ExtremeExtremeSerious</v>
      </c>
      <c r="Z201" s="10" t="s">
        <v>66</v>
      </c>
      <c r="AA201" s="10" t="s">
        <v>209</v>
      </c>
    </row>
    <row r="202" spans="22:27" x14ac:dyDescent="0.3">
      <c r="V202" s="12" t="s">
        <v>24</v>
      </c>
      <c r="W202" s="12" t="s">
        <v>24</v>
      </c>
      <c r="X202" s="12" t="s">
        <v>24</v>
      </c>
      <c r="Y202" s="12" t="str">
        <f t="shared" si="1"/>
        <v>ExtremeExtremeExtreme</v>
      </c>
      <c r="Z202" s="10" t="s">
        <v>66</v>
      </c>
      <c r="AA202" s="10" t="s">
        <v>209</v>
      </c>
    </row>
  </sheetData>
  <mergeCells count="6">
    <mergeCell ref="A1:E1"/>
    <mergeCell ref="A2:J4"/>
    <mergeCell ref="F1:J1"/>
    <mergeCell ref="A5:A6"/>
    <mergeCell ref="B5:E5"/>
    <mergeCell ref="F5:I5"/>
  </mergeCells>
  <conditionalFormatting sqref="I2:J4 I5 I7:J1048576">
    <cfRule type="cellIs" dxfId="116" priority="4" operator="equal">
      <formula>"High"</formula>
    </cfRule>
  </conditionalFormatting>
  <conditionalFormatting sqref="I2:J4 I5">
    <cfRule type="cellIs" dxfId="115" priority="3" operator="equal">
      <formula>"Very Low"</formula>
    </cfRule>
  </conditionalFormatting>
  <conditionalFormatting sqref="I6:J6">
    <cfRule type="cellIs" dxfId="114" priority="2" operator="equal">
      <formula>"High"</formula>
    </cfRule>
  </conditionalFormatting>
  <conditionalFormatting sqref="I6:J1048576">
    <cfRule type="cellIs" dxfId="113" priority="1" operator="equal">
      <formula>"Very Low"</formula>
    </cfRule>
  </conditionalFormatting>
  <conditionalFormatting sqref="I7:J13 J9:J14">
    <cfRule type="cellIs" dxfId="112" priority="11" operator="equal">
      <formula>"Low"</formula>
    </cfRule>
    <cfRule type="cellIs" dxfId="111" priority="12" operator="equal">
      <formula>"Medium"</formula>
    </cfRule>
    <cfRule type="cellIs" dxfId="110" priority="13" operator="equal">
      <formula>"Very High"</formula>
    </cfRule>
  </conditionalFormatting>
  <conditionalFormatting sqref="L38:O101">
    <cfRule type="cellIs" dxfId="109" priority="20" stopIfTrue="1" operator="equal">
      <formula>"Low"</formula>
    </cfRule>
    <cfRule type="cellIs" dxfId="108" priority="21" stopIfTrue="1" operator="equal">
      <formula>"Medium"</formula>
    </cfRule>
    <cfRule type="cellIs" dxfId="107" priority="22" stopIfTrue="1" operator="equal">
      <formula>"High"</formula>
    </cfRule>
  </conditionalFormatting>
  <conditionalFormatting sqref="V139:Y202">
    <cfRule type="cellIs" dxfId="106" priority="8" stopIfTrue="1" operator="equal">
      <formula>"Low"</formula>
    </cfRule>
    <cfRule type="cellIs" dxfId="105" priority="9" stopIfTrue="1" operator="equal">
      <formula>"Medium"</formula>
    </cfRule>
    <cfRule type="cellIs" dxfId="104" priority="10" stopIfTrue="1" operator="equal">
      <formula>"High"</formula>
    </cfRule>
  </conditionalFormatting>
  <dataValidations count="2">
    <dataValidation type="list" allowBlank="1" showInputMessage="1" showErrorMessage="1" sqref="G2:H5 G7:H1048576 F2:F1048576" xr:uid="{00000000-0002-0000-0200-000000000000}">
      <formula1>"Extreme, Serious, Moderate, Insignificant"</formula1>
    </dataValidation>
    <dataValidation type="list" showInputMessage="1" showErrorMessage="1" sqref="C7:C13" xr:uid="{00000000-0002-0000-0200-000001000000}">
      <formula1>"Physical Assets, Software Assets, Information Assets, Service Assets, People Assets"</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showGridLines="0" zoomScaleNormal="100" workbookViewId="0"/>
  </sheetViews>
  <sheetFormatPr defaultColWidth="9.1796875" defaultRowHeight="12.5" zeroHeight="1" x14ac:dyDescent="0.25"/>
  <cols>
    <col min="1" max="1" width="42" style="16" bestFit="1" customWidth="1"/>
    <col min="2" max="2" width="73.54296875" style="16" customWidth="1"/>
    <col min="3" max="3" width="40.1796875" style="16" customWidth="1"/>
    <col min="4" max="16384" width="9.1796875" style="16"/>
  </cols>
  <sheetData>
    <row r="1" spans="1:9" x14ac:dyDescent="0.25">
      <c r="A1" s="23"/>
      <c r="B1" s="23"/>
      <c r="C1" s="23"/>
      <c r="D1" s="23"/>
      <c r="E1" s="23"/>
      <c r="F1" s="23"/>
      <c r="G1" s="23"/>
      <c r="H1" s="23"/>
      <c r="I1" s="23"/>
    </row>
    <row r="2" spans="1:9" ht="14.5" x14ac:dyDescent="0.25">
      <c r="A2" s="135" t="s">
        <v>67</v>
      </c>
      <c r="B2" s="136"/>
      <c r="C2" s="137"/>
      <c r="D2" s="23"/>
      <c r="E2" s="23"/>
      <c r="F2" s="23"/>
      <c r="G2" s="23"/>
      <c r="H2" s="23"/>
      <c r="I2" s="23"/>
    </row>
    <row r="3" spans="1:9" ht="21" customHeight="1" x14ac:dyDescent="0.25">
      <c r="A3" s="145" t="s">
        <v>68</v>
      </c>
      <c r="B3" s="146"/>
      <c r="C3" s="147"/>
      <c r="D3" s="23"/>
      <c r="E3" s="23"/>
      <c r="F3" s="23"/>
      <c r="G3" s="23"/>
      <c r="H3" s="23"/>
      <c r="I3" s="23"/>
    </row>
    <row r="4" spans="1:9" ht="123" customHeight="1" x14ac:dyDescent="0.25">
      <c r="A4" s="123" t="s">
        <v>245</v>
      </c>
      <c r="B4" s="124"/>
      <c r="C4" s="125"/>
      <c r="D4" s="23"/>
      <c r="E4" s="23"/>
      <c r="F4" s="23"/>
      <c r="G4" s="23"/>
      <c r="H4" s="23"/>
      <c r="I4" s="23"/>
    </row>
    <row r="5" spans="1:9" ht="14.5" x14ac:dyDescent="0.25">
      <c r="A5" s="135" t="s">
        <v>69</v>
      </c>
      <c r="B5" s="136"/>
      <c r="C5" s="137"/>
      <c r="D5" s="23"/>
      <c r="E5" s="23"/>
      <c r="F5" s="23"/>
      <c r="G5" s="23"/>
      <c r="H5" s="23"/>
      <c r="I5" s="23"/>
    </row>
    <row r="6" spans="1:9" ht="45.75" customHeight="1" x14ac:dyDescent="0.25">
      <c r="A6" s="141" t="s">
        <v>70</v>
      </c>
      <c r="B6" s="142"/>
      <c r="C6" s="143"/>
      <c r="D6" s="23"/>
      <c r="E6" s="23"/>
      <c r="F6" s="23"/>
      <c r="G6" s="23"/>
      <c r="H6" s="23"/>
      <c r="I6" s="23"/>
    </row>
    <row r="7" spans="1:9" ht="12.75" customHeight="1" x14ac:dyDescent="0.25">
      <c r="A7" s="141" t="s">
        <v>71</v>
      </c>
      <c r="B7" s="142"/>
      <c r="C7" s="143"/>
      <c r="D7" s="23"/>
      <c r="E7" s="23"/>
      <c r="F7" s="23"/>
      <c r="G7" s="23"/>
      <c r="H7" s="23"/>
      <c r="I7" s="23"/>
    </row>
    <row r="8" spans="1:9" ht="12.75" customHeight="1" x14ac:dyDescent="0.25">
      <c r="A8" s="57" t="s">
        <v>72</v>
      </c>
      <c r="B8" s="57" t="s">
        <v>73</v>
      </c>
      <c r="C8" s="57" t="s">
        <v>74</v>
      </c>
      <c r="D8" s="23"/>
      <c r="E8" s="23"/>
      <c r="F8" s="23"/>
      <c r="G8" s="23"/>
      <c r="H8" s="23"/>
      <c r="I8" s="23"/>
    </row>
    <row r="9" spans="1:9" ht="13" x14ac:dyDescent="0.25">
      <c r="A9" s="22" t="s">
        <v>65</v>
      </c>
      <c r="B9" s="22" t="s">
        <v>75</v>
      </c>
      <c r="C9" s="22">
        <v>1</v>
      </c>
      <c r="D9" s="23"/>
      <c r="E9" s="23"/>
      <c r="F9" s="23"/>
      <c r="G9" s="23"/>
      <c r="H9" s="23"/>
      <c r="I9" s="23"/>
    </row>
    <row r="10" spans="1:9" ht="13" x14ac:dyDescent="0.25">
      <c r="A10" s="22" t="s">
        <v>19</v>
      </c>
      <c r="B10" s="22" t="s">
        <v>76</v>
      </c>
      <c r="C10" s="22">
        <v>2</v>
      </c>
      <c r="D10" s="23"/>
      <c r="E10" s="23"/>
      <c r="F10" s="23"/>
      <c r="G10" s="23"/>
      <c r="H10" s="23"/>
      <c r="I10" s="23"/>
    </row>
    <row r="11" spans="1:9" ht="13" x14ac:dyDescent="0.25">
      <c r="A11" s="22" t="s">
        <v>28</v>
      </c>
      <c r="B11" s="22" t="s">
        <v>77</v>
      </c>
      <c r="C11" s="22">
        <v>3</v>
      </c>
      <c r="D11" s="23"/>
      <c r="E11" s="23"/>
      <c r="F11" s="23"/>
      <c r="G11" s="23"/>
      <c r="H11" s="23"/>
      <c r="I11" s="23"/>
    </row>
    <row r="12" spans="1:9" ht="13" x14ac:dyDescent="0.25">
      <c r="A12" s="22" t="s">
        <v>21</v>
      </c>
      <c r="B12" s="22" t="s">
        <v>78</v>
      </c>
      <c r="C12" s="22">
        <v>4</v>
      </c>
      <c r="D12" s="23"/>
      <c r="E12" s="23"/>
      <c r="F12" s="23"/>
      <c r="G12" s="23"/>
      <c r="H12" s="23"/>
      <c r="I12" s="23"/>
    </row>
    <row r="13" spans="1:9" ht="13" x14ac:dyDescent="0.25">
      <c r="A13" s="22" t="s">
        <v>66</v>
      </c>
      <c r="B13" s="22" t="s">
        <v>79</v>
      </c>
      <c r="C13" s="22">
        <v>5</v>
      </c>
      <c r="D13" s="23"/>
      <c r="E13" s="23"/>
      <c r="F13" s="23"/>
      <c r="G13" s="23"/>
      <c r="H13" s="23"/>
      <c r="I13" s="23"/>
    </row>
    <row r="14" spans="1:9" ht="14.5" x14ac:dyDescent="0.25">
      <c r="A14" s="135" t="s">
        <v>80</v>
      </c>
      <c r="B14" s="136"/>
      <c r="C14" s="137"/>
      <c r="D14" s="23"/>
      <c r="E14" s="23"/>
      <c r="F14" s="23"/>
      <c r="G14" s="23"/>
      <c r="H14" s="23"/>
      <c r="I14" s="23"/>
    </row>
    <row r="15" spans="1:9" ht="38.25" customHeight="1" x14ac:dyDescent="0.25">
      <c r="A15" s="141" t="s">
        <v>81</v>
      </c>
      <c r="B15" s="142"/>
      <c r="C15" s="143"/>
      <c r="D15" s="23"/>
      <c r="E15" s="23"/>
      <c r="F15" s="23"/>
      <c r="G15" s="23"/>
      <c r="H15" s="23"/>
      <c r="I15" s="23"/>
    </row>
    <row r="16" spans="1:9" ht="14.5" x14ac:dyDescent="0.25">
      <c r="A16" s="57" t="s">
        <v>82</v>
      </c>
      <c r="B16" s="57" t="s">
        <v>83</v>
      </c>
      <c r="C16" s="57" t="s">
        <v>84</v>
      </c>
      <c r="D16" s="23"/>
      <c r="E16" s="23"/>
      <c r="F16" s="23"/>
      <c r="G16" s="23"/>
      <c r="H16" s="23"/>
      <c r="I16" s="23"/>
    </row>
    <row r="17" spans="1:9" ht="13" x14ac:dyDescent="0.25">
      <c r="A17" s="22" t="s">
        <v>65</v>
      </c>
      <c r="B17" s="22" t="s">
        <v>85</v>
      </c>
      <c r="C17" s="22">
        <v>1</v>
      </c>
      <c r="D17" s="23"/>
      <c r="E17" s="23"/>
      <c r="F17" s="23"/>
      <c r="G17" s="23"/>
      <c r="H17" s="23"/>
      <c r="I17" s="23"/>
    </row>
    <row r="18" spans="1:9" ht="13" x14ac:dyDescent="0.25">
      <c r="A18" s="22" t="s">
        <v>19</v>
      </c>
      <c r="B18" s="22" t="s">
        <v>86</v>
      </c>
      <c r="C18" s="22">
        <v>2</v>
      </c>
      <c r="D18" s="23"/>
      <c r="E18" s="23"/>
      <c r="F18" s="23"/>
      <c r="G18" s="23"/>
      <c r="H18" s="23"/>
      <c r="I18" s="23"/>
    </row>
    <row r="19" spans="1:9" ht="13" x14ac:dyDescent="0.25">
      <c r="A19" s="22" t="s">
        <v>28</v>
      </c>
      <c r="B19" s="22" t="s">
        <v>87</v>
      </c>
      <c r="C19" s="22">
        <v>3</v>
      </c>
      <c r="D19" s="23"/>
      <c r="E19" s="23"/>
      <c r="F19" s="23"/>
      <c r="G19" s="23"/>
      <c r="H19" s="23"/>
      <c r="I19" s="23"/>
    </row>
    <row r="20" spans="1:9" ht="13" x14ac:dyDescent="0.25">
      <c r="A20" s="22" t="s">
        <v>21</v>
      </c>
      <c r="B20" s="22" t="s">
        <v>88</v>
      </c>
      <c r="C20" s="22">
        <v>4</v>
      </c>
      <c r="D20" s="23"/>
      <c r="E20" s="23"/>
      <c r="F20" s="23"/>
      <c r="G20" s="23"/>
      <c r="H20" s="23"/>
      <c r="I20" s="23"/>
    </row>
    <row r="21" spans="1:9" ht="13" x14ac:dyDescent="0.25">
      <c r="A21" s="22" t="s">
        <v>66</v>
      </c>
      <c r="B21" s="22" t="s">
        <v>89</v>
      </c>
      <c r="C21" s="22">
        <v>5</v>
      </c>
      <c r="D21" s="23"/>
      <c r="E21" s="23"/>
      <c r="F21" s="23"/>
      <c r="G21" s="23"/>
      <c r="H21" s="23"/>
      <c r="I21" s="23"/>
    </row>
    <row r="22" spans="1:9" ht="98.25" customHeight="1" x14ac:dyDescent="0.25">
      <c r="A22" s="141" t="s">
        <v>176</v>
      </c>
      <c r="B22" s="142"/>
      <c r="C22" s="143"/>
      <c r="D22" s="23"/>
      <c r="E22" s="23"/>
      <c r="F22" s="23"/>
      <c r="G22" s="23"/>
      <c r="H22" s="23"/>
      <c r="I22" s="23"/>
    </row>
    <row r="23" spans="1:9" ht="14.5" x14ac:dyDescent="0.25">
      <c r="A23" s="57" t="s">
        <v>90</v>
      </c>
      <c r="B23" s="57" t="s">
        <v>91</v>
      </c>
      <c r="C23" s="57" t="s">
        <v>90</v>
      </c>
      <c r="D23" s="23"/>
      <c r="E23" s="23"/>
      <c r="F23" s="23"/>
      <c r="G23" s="23"/>
      <c r="H23" s="23"/>
      <c r="I23" s="23"/>
    </row>
    <row r="24" spans="1:9" ht="13" x14ac:dyDescent="0.25">
      <c r="A24" s="22">
        <v>1</v>
      </c>
      <c r="B24" s="75" t="s">
        <v>92</v>
      </c>
      <c r="C24" s="17"/>
      <c r="D24" s="23"/>
      <c r="E24" s="23"/>
      <c r="F24" s="23"/>
      <c r="G24" s="23"/>
      <c r="H24" s="23"/>
      <c r="I24" s="23"/>
    </row>
    <row r="25" spans="1:9" ht="13" x14ac:dyDescent="0.25">
      <c r="A25" s="22">
        <v>2</v>
      </c>
      <c r="B25" s="75" t="s">
        <v>93</v>
      </c>
      <c r="C25" s="20"/>
      <c r="D25" s="23"/>
      <c r="E25" s="23"/>
      <c r="F25" s="23"/>
      <c r="G25" s="23"/>
      <c r="H25" s="23"/>
      <c r="I25" s="23"/>
    </row>
    <row r="26" spans="1:9" ht="13" x14ac:dyDescent="0.25">
      <c r="A26" s="22">
        <v>3</v>
      </c>
      <c r="B26" s="75" t="s">
        <v>94</v>
      </c>
      <c r="C26" s="19"/>
      <c r="D26" s="23"/>
      <c r="E26" s="23"/>
      <c r="F26" s="23"/>
      <c r="G26" s="23"/>
      <c r="H26" s="23"/>
      <c r="I26" s="23"/>
    </row>
    <row r="27" spans="1:9" ht="13" x14ac:dyDescent="0.25">
      <c r="A27" s="22">
        <v>4</v>
      </c>
      <c r="B27" s="75" t="s">
        <v>95</v>
      </c>
      <c r="C27" s="18"/>
      <c r="D27" s="23"/>
      <c r="E27" s="23"/>
      <c r="F27" s="23"/>
      <c r="G27" s="23"/>
      <c r="H27" s="23"/>
      <c r="I27" s="23"/>
    </row>
    <row r="28" spans="1:9" ht="13" x14ac:dyDescent="0.25">
      <c r="A28" s="22">
        <v>5</v>
      </c>
      <c r="B28" s="75" t="s">
        <v>237</v>
      </c>
      <c r="C28" s="21"/>
      <c r="D28" s="23"/>
      <c r="E28" s="23"/>
      <c r="F28" s="23"/>
      <c r="G28" s="23"/>
      <c r="H28" s="23"/>
      <c r="I28" s="23"/>
    </row>
    <row r="29" spans="1:9" ht="46.5" customHeight="1" x14ac:dyDescent="0.25">
      <c r="A29" s="144" t="s">
        <v>230</v>
      </c>
      <c r="B29" s="142"/>
      <c r="C29" s="143"/>
      <c r="D29" s="23"/>
      <c r="E29" s="23"/>
      <c r="F29" s="23"/>
      <c r="G29" s="23"/>
      <c r="H29" s="23"/>
      <c r="I29" s="23"/>
    </row>
    <row r="30" spans="1:9" ht="29" x14ac:dyDescent="0.25">
      <c r="A30" s="57" t="s">
        <v>231</v>
      </c>
      <c r="B30" s="135" t="s">
        <v>107</v>
      </c>
      <c r="C30" s="137"/>
      <c r="D30" s="23"/>
      <c r="E30" s="23"/>
      <c r="F30" s="23"/>
      <c r="G30" s="23"/>
      <c r="H30" s="23"/>
      <c r="I30" s="23"/>
    </row>
    <row r="31" spans="1:9" ht="13" x14ac:dyDescent="0.25">
      <c r="A31" s="22">
        <v>1</v>
      </c>
      <c r="B31" s="150" t="s">
        <v>232</v>
      </c>
      <c r="C31" s="151"/>
      <c r="D31" s="23"/>
      <c r="E31" s="23"/>
      <c r="F31" s="23"/>
      <c r="G31" s="23"/>
      <c r="H31" s="23"/>
      <c r="I31" s="23"/>
    </row>
    <row r="32" spans="1:9" ht="13" x14ac:dyDescent="0.25">
      <c r="A32" s="22">
        <v>2</v>
      </c>
      <c r="B32" s="150" t="s">
        <v>233</v>
      </c>
      <c r="C32" s="151"/>
      <c r="D32" s="23"/>
      <c r="E32" s="23"/>
      <c r="F32" s="23"/>
      <c r="G32" s="23"/>
      <c r="H32" s="23"/>
      <c r="I32" s="23"/>
    </row>
    <row r="33" spans="1:9" ht="13" x14ac:dyDescent="0.25">
      <c r="A33" s="22">
        <v>3</v>
      </c>
      <c r="B33" s="150" t="s">
        <v>234</v>
      </c>
      <c r="C33" s="151"/>
      <c r="D33" s="23"/>
      <c r="E33" s="23"/>
      <c r="F33" s="23"/>
      <c r="G33" s="23"/>
      <c r="H33" s="23"/>
      <c r="I33" s="23"/>
    </row>
    <row r="34" spans="1:9" ht="13" x14ac:dyDescent="0.25">
      <c r="A34" s="22">
        <v>4</v>
      </c>
      <c r="B34" s="150" t="s">
        <v>235</v>
      </c>
      <c r="C34" s="151"/>
      <c r="D34" s="23"/>
      <c r="E34" s="23"/>
      <c r="F34" s="23"/>
      <c r="G34" s="23"/>
      <c r="H34" s="23"/>
      <c r="I34" s="23"/>
    </row>
    <row r="35" spans="1:9" ht="13" x14ac:dyDescent="0.25">
      <c r="A35" s="22">
        <v>5</v>
      </c>
      <c r="B35" s="150" t="s">
        <v>236</v>
      </c>
      <c r="C35" s="151"/>
      <c r="D35" s="23"/>
      <c r="E35" s="23"/>
      <c r="F35" s="23"/>
      <c r="G35" s="23"/>
      <c r="H35" s="23"/>
      <c r="I35" s="23"/>
    </row>
    <row r="36" spans="1:9" ht="13.5" customHeight="1" x14ac:dyDescent="0.25">
      <c r="A36" s="148" t="s">
        <v>246</v>
      </c>
      <c r="B36" s="148"/>
      <c r="C36" s="148"/>
      <c r="D36" s="23"/>
      <c r="E36" s="23"/>
      <c r="F36" s="23"/>
      <c r="G36" s="23"/>
      <c r="H36" s="23"/>
      <c r="I36" s="23"/>
    </row>
    <row r="37" spans="1:9" ht="25.5" customHeight="1" x14ac:dyDescent="0.25">
      <c r="A37" s="149"/>
      <c r="B37" s="149"/>
      <c r="C37" s="149"/>
      <c r="D37" s="23"/>
      <c r="E37" s="23"/>
      <c r="F37" s="23"/>
      <c r="G37" s="23"/>
      <c r="H37" s="23"/>
      <c r="I37" s="23"/>
    </row>
    <row r="38" spans="1:9" ht="12.75" customHeight="1" x14ac:dyDescent="0.25">
      <c r="A38" s="149"/>
      <c r="B38" s="149"/>
      <c r="C38" s="149"/>
      <c r="D38" s="23"/>
      <c r="E38" s="23"/>
      <c r="F38" s="23"/>
      <c r="G38" s="23"/>
      <c r="H38" s="23"/>
      <c r="I38" s="23"/>
    </row>
    <row r="39" spans="1:9" ht="12.75" customHeight="1" x14ac:dyDescent="0.25">
      <c r="A39" s="149"/>
      <c r="B39" s="149"/>
      <c r="C39" s="149"/>
      <c r="D39" s="23"/>
      <c r="E39" s="23"/>
      <c r="F39" s="23"/>
      <c r="G39" s="23"/>
      <c r="H39" s="23"/>
      <c r="I39" s="23"/>
    </row>
    <row r="40" spans="1:9" ht="12.75" customHeight="1" x14ac:dyDescent="0.25">
      <c r="A40" s="149"/>
      <c r="B40" s="149"/>
      <c r="C40" s="149"/>
      <c r="D40" s="23"/>
      <c r="E40" s="23"/>
      <c r="F40" s="23"/>
      <c r="G40" s="23"/>
      <c r="H40" s="23"/>
      <c r="I40" s="23"/>
    </row>
    <row r="41" spans="1:9" ht="12.75" customHeight="1" x14ac:dyDescent="0.25">
      <c r="A41" s="149"/>
      <c r="B41" s="149"/>
      <c r="C41" s="149"/>
      <c r="D41" s="23"/>
      <c r="E41" s="23"/>
      <c r="F41" s="23"/>
      <c r="G41" s="23"/>
      <c r="H41" s="23"/>
      <c r="I41" s="23"/>
    </row>
    <row r="42" spans="1:9" ht="12.75" customHeight="1" x14ac:dyDescent="0.25">
      <c r="A42" s="149"/>
      <c r="B42" s="149"/>
      <c r="C42" s="149"/>
      <c r="D42" s="23"/>
      <c r="E42" s="23"/>
      <c r="F42" s="23"/>
      <c r="G42" s="23"/>
      <c r="H42" s="23"/>
      <c r="I42" s="23"/>
    </row>
    <row r="43" spans="1:9" ht="12.75" customHeight="1" x14ac:dyDescent="0.25">
      <c r="A43" s="149"/>
      <c r="B43" s="149"/>
      <c r="C43" s="149"/>
      <c r="D43" s="23"/>
      <c r="E43" s="23"/>
      <c r="F43" s="23"/>
      <c r="G43" s="23"/>
      <c r="H43" s="23"/>
      <c r="I43" s="23"/>
    </row>
    <row r="44" spans="1:9" ht="12.75" customHeight="1" x14ac:dyDescent="0.25">
      <c r="A44" s="149"/>
      <c r="B44" s="149"/>
      <c r="C44" s="149"/>
      <c r="D44" s="23"/>
      <c r="E44" s="23"/>
      <c r="F44" s="23"/>
      <c r="G44" s="23"/>
      <c r="H44" s="23"/>
      <c r="I44" s="23"/>
    </row>
    <row r="45" spans="1:9" ht="12.75" customHeight="1" x14ac:dyDescent="0.25">
      <c r="A45" s="149"/>
      <c r="B45" s="149"/>
      <c r="C45" s="149"/>
      <c r="D45" s="23"/>
      <c r="E45" s="23"/>
      <c r="F45" s="23"/>
      <c r="G45" s="23"/>
      <c r="H45" s="23"/>
      <c r="I45" s="23"/>
    </row>
    <row r="46" spans="1:9" ht="12.75" customHeight="1" x14ac:dyDescent="0.25">
      <c r="A46" s="149"/>
      <c r="B46" s="149"/>
      <c r="C46" s="149"/>
      <c r="D46" s="23"/>
      <c r="E46" s="23"/>
      <c r="F46" s="23"/>
      <c r="G46" s="23"/>
      <c r="H46" s="23"/>
      <c r="I46" s="23"/>
    </row>
    <row r="47" spans="1:9" ht="12.75" customHeight="1" x14ac:dyDescent="0.25">
      <c r="A47" s="149"/>
      <c r="B47" s="149"/>
      <c r="C47" s="149"/>
      <c r="D47" s="23"/>
      <c r="E47" s="23"/>
      <c r="F47" s="23"/>
      <c r="G47" s="23"/>
      <c r="H47" s="23"/>
      <c r="I47" s="23"/>
    </row>
    <row r="48" spans="1:9" ht="12.75" customHeight="1" x14ac:dyDescent="0.25">
      <c r="A48" s="149"/>
      <c r="B48" s="149"/>
      <c r="C48" s="149"/>
      <c r="D48" s="23"/>
      <c r="E48" s="23"/>
      <c r="F48" s="23"/>
      <c r="G48" s="23"/>
      <c r="H48" s="23"/>
      <c r="I48" s="23"/>
    </row>
    <row r="49" spans="1:9" ht="12.75" customHeight="1" x14ac:dyDescent="0.25">
      <c r="A49" s="149"/>
      <c r="B49" s="149"/>
      <c r="C49" s="149"/>
      <c r="D49" s="23"/>
      <c r="E49" s="23"/>
      <c r="F49" s="23"/>
      <c r="G49" s="23"/>
      <c r="H49" s="23"/>
      <c r="I49" s="23"/>
    </row>
    <row r="50" spans="1:9" ht="12.75" customHeight="1" x14ac:dyDescent="0.25">
      <c r="A50" s="149"/>
      <c r="B50" s="149"/>
      <c r="C50" s="149"/>
      <c r="D50" s="23"/>
      <c r="E50" s="23"/>
      <c r="F50" s="23"/>
      <c r="G50" s="23"/>
      <c r="H50" s="23"/>
      <c r="I50" s="23"/>
    </row>
    <row r="51" spans="1:9" ht="12.75" customHeight="1" x14ac:dyDescent="0.25">
      <c r="A51" s="149"/>
      <c r="B51" s="149"/>
      <c r="C51" s="149"/>
      <c r="D51" s="23"/>
      <c r="E51" s="23"/>
      <c r="F51" s="23"/>
      <c r="G51" s="23"/>
      <c r="H51" s="23"/>
      <c r="I51" s="23"/>
    </row>
    <row r="52" spans="1:9" ht="12.75" customHeight="1" x14ac:dyDescent="0.25">
      <c r="A52" s="149"/>
      <c r="B52" s="149"/>
      <c r="C52" s="149"/>
      <c r="D52" s="23"/>
      <c r="E52" s="23"/>
      <c r="F52" s="23"/>
      <c r="G52" s="23"/>
      <c r="H52" s="23"/>
      <c r="I52" s="23"/>
    </row>
    <row r="53" spans="1:9" ht="12.75" customHeight="1" x14ac:dyDescent="0.25">
      <c r="A53" s="149"/>
      <c r="B53" s="149"/>
      <c r="C53" s="149"/>
      <c r="D53" s="23"/>
      <c r="E53" s="23"/>
      <c r="F53" s="23"/>
      <c r="G53" s="23"/>
      <c r="H53" s="23"/>
      <c r="I53" s="23"/>
    </row>
    <row r="54" spans="1:9" ht="12.75" customHeight="1" x14ac:dyDescent="0.25">
      <c r="A54" s="149"/>
      <c r="B54" s="149"/>
      <c r="C54" s="149"/>
      <c r="D54" s="23"/>
      <c r="E54" s="23"/>
      <c r="F54" s="23"/>
      <c r="G54" s="23"/>
      <c r="H54" s="23"/>
      <c r="I54" s="23"/>
    </row>
    <row r="55" spans="1:9" ht="12.75" customHeight="1" x14ac:dyDescent="0.25">
      <c r="A55" s="149"/>
      <c r="B55" s="149"/>
      <c r="C55" s="149"/>
      <c r="D55" s="23"/>
      <c r="E55" s="23"/>
      <c r="F55" s="23"/>
      <c r="G55" s="23"/>
      <c r="H55" s="23"/>
      <c r="I55" s="23"/>
    </row>
    <row r="56" spans="1:9" ht="12.75" customHeight="1" x14ac:dyDescent="0.25">
      <c r="A56" s="149"/>
      <c r="B56" s="149"/>
      <c r="C56" s="149"/>
      <c r="D56" s="23"/>
      <c r="E56" s="23"/>
      <c r="F56" s="23"/>
      <c r="G56" s="23"/>
      <c r="H56" s="23"/>
      <c r="I56" s="23"/>
    </row>
    <row r="57" spans="1:9" ht="12.75" customHeight="1" x14ac:dyDescent="0.25">
      <c r="A57" s="149"/>
      <c r="B57" s="149"/>
      <c r="C57" s="149"/>
      <c r="D57" s="23"/>
      <c r="E57" s="23"/>
      <c r="F57" s="23"/>
      <c r="G57" s="23"/>
      <c r="H57" s="23"/>
      <c r="I57" s="23"/>
    </row>
    <row r="58" spans="1:9" x14ac:dyDescent="0.25">
      <c r="A58" s="23"/>
      <c r="B58" s="23"/>
      <c r="C58" s="23"/>
      <c r="D58" s="23"/>
      <c r="E58" s="23"/>
      <c r="F58" s="23"/>
      <c r="G58" s="23"/>
      <c r="H58" s="23"/>
      <c r="I58" s="23"/>
    </row>
  </sheetData>
  <mergeCells count="17">
    <mergeCell ref="A36:C57"/>
    <mergeCell ref="B31:C31"/>
    <mergeCell ref="B32:C32"/>
    <mergeCell ref="B33:C33"/>
    <mergeCell ref="B34:C34"/>
    <mergeCell ref="B35:C35"/>
    <mergeCell ref="A2:C2"/>
    <mergeCell ref="A14:C14"/>
    <mergeCell ref="A22:C22"/>
    <mergeCell ref="A29:C29"/>
    <mergeCell ref="B30:C30"/>
    <mergeCell ref="A15:C15"/>
    <mergeCell ref="A3:C3"/>
    <mergeCell ref="A4:C4"/>
    <mergeCell ref="A5:C5"/>
    <mergeCell ref="A6:C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715"/>
  <sheetViews>
    <sheetView tabSelected="1" zoomScale="80" zoomScaleNormal="80" workbookViewId="0">
      <pane xSplit="2" ySplit="2" topLeftCell="C3" activePane="bottomRight" state="frozen"/>
      <selection pane="topRight" activeCell="C1" sqref="C1"/>
      <selection pane="bottomLeft" activeCell="A3" sqref="A3"/>
      <selection pane="bottomRight" activeCell="J3" sqref="J3"/>
    </sheetView>
  </sheetViews>
  <sheetFormatPr defaultRowHeight="14.5" x14ac:dyDescent="0.35"/>
  <cols>
    <col min="1" max="1" width="9.1796875" style="15"/>
    <col min="2" max="2" width="38.26953125" style="15" customWidth="1"/>
    <col min="3" max="4" width="15.7265625" style="15" customWidth="1"/>
    <col min="5" max="5" width="76.81640625" style="15" customWidth="1"/>
    <col min="6" max="6" width="15.7265625" customWidth="1"/>
    <col min="7" max="7" width="14.26953125" customWidth="1"/>
    <col min="8" max="8" width="18.1796875" customWidth="1"/>
    <col min="10" max="10" width="16.54296875" style="15" customWidth="1"/>
    <col min="11" max="11" width="18" customWidth="1"/>
    <col min="12" max="12" width="55" customWidth="1"/>
    <col min="13" max="13" width="21.54296875" customWidth="1"/>
    <col min="14" max="14" width="19.1796875" customWidth="1"/>
    <col min="15" max="15" width="44.54296875" customWidth="1"/>
    <col min="16" max="16" width="13" customWidth="1"/>
    <col min="17" max="17" width="18.26953125" customWidth="1"/>
    <col min="18" max="18" width="55.453125" customWidth="1"/>
    <col min="19" max="20" width="18.26953125" customWidth="1"/>
    <col min="21" max="22" width="14.26953125" customWidth="1"/>
    <col min="23" max="23" width="12.7265625" customWidth="1"/>
    <col min="24" max="24" width="16.453125" customWidth="1"/>
    <col min="25" max="25" width="18.26953125" customWidth="1"/>
    <col min="27" max="27" width="13.453125" customWidth="1"/>
    <col min="28" max="28" width="10.7265625" customWidth="1"/>
    <col min="29" max="29" width="23.1796875" customWidth="1"/>
  </cols>
  <sheetData>
    <row r="1" spans="1:25" ht="45" customHeight="1" x14ac:dyDescent="0.35">
      <c r="A1" s="153" t="s">
        <v>5</v>
      </c>
      <c r="B1" s="153" t="s">
        <v>197</v>
      </c>
      <c r="C1" s="153" t="s">
        <v>31</v>
      </c>
      <c r="D1" s="153" t="s">
        <v>32</v>
      </c>
      <c r="E1" s="153" t="s">
        <v>33</v>
      </c>
      <c r="F1" s="153" t="s">
        <v>135</v>
      </c>
      <c r="G1" s="153" t="s">
        <v>1</v>
      </c>
      <c r="H1" s="153" t="s">
        <v>2</v>
      </c>
      <c r="I1" s="153" t="s">
        <v>0</v>
      </c>
      <c r="J1" s="177" t="s">
        <v>3</v>
      </c>
      <c r="K1" s="153" t="s">
        <v>4</v>
      </c>
      <c r="L1" s="152" t="s">
        <v>59</v>
      </c>
      <c r="M1" s="152"/>
      <c r="N1" s="152"/>
      <c r="O1" s="152"/>
      <c r="P1" s="152"/>
      <c r="Q1" s="152"/>
      <c r="R1" s="152"/>
      <c r="S1" s="152"/>
      <c r="T1" s="152"/>
      <c r="U1" s="152" t="s">
        <v>136</v>
      </c>
      <c r="V1" s="152"/>
      <c r="W1" s="152"/>
      <c r="X1" s="152" t="s">
        <v>4</v>
      </c>
      <c r="Y1" s="153" t="s">
        <v>34</v>
      </c>
    </row>
    <row r="2" spans="1:25" ht="47.25" customHeight="1" x14ac:dyDescent="0.35">
      <c r="A2" s="154"/>
      <c r="B2" s="154"/>
      <c r="C2" s="154"/>
      <c r="D2" s="154"/>
      <c r="E2" s="154"/>
      <c r="F2" s="154"/>
      <c r="G2" s="154"/>
      <c r="H2" s="154"/>
      <c r="I2" s="154"/>
      <c r="J2" s="178"/>
      <c r="K2" s="154"/>
      <c r="L2" s="59" t="s">
        <v>199</v>
      </c>
      <c r="M2" s="59" t="s">
        <v>200</v>
      </c>
      <c r="N2" s="59" t="s">
        <v>222</v>
      </c>
      <c r="O2" s="59" t="s">
        <v>201</v>
      </c>
      <c r="P2" s="59" t="s">
        <v>202</v>
      </c>
      <c r="Q2" s="59" t="s">
        <v>223</v>
      </c>
      <c r="R2" s="59" t="s">
        <v>203</v>
      </c>
      <c r="S2" s="59" t="s">
        <v>204</v>
      </c>
      <c r="T2" s="59" t="s">
        <v>224</v>
      </c>
      <c r="U2" s="59" t="s">
        <v>177</v>
      </c>
      <c r="V2" s="59" t="s">
        <v>225</v>
      </c>
      <c r="W2" s="2" t="s">
        <v>178</v>
      </c>
      <c r="X2" s="152"/>
      <c r="Y2" s="154"/>
    </row>
    <row r="3" spans="1:25" ht="24" customHeight="1" x14ac:dyDescent="0.35">
      <c r="A3" s="167">
        <v>1</v>
      </c>
      <c r="B3" s="169" t="str">
        <f>'Asset Inventory'!B7</f>
        <v>Asset Class Name1
Description:-
Examples:-</v>
      </c>
      <c r="C3" s="172" t="e">
        <f>'Asset Inventory'!I7</f>
        <v>#N/A</v>
      </c>
      <c r="D3" s="47"/>
      <c r="E3" s="42"/>
      <c r="F3" s="1"/>
      <c r="G3" s="1"/>
      <c r="H3" s="1"/>
      <c r="I3" s="13">
        <f>G3*H3</f>
        <v>0</v>
      </c>
      <c r="J3" s="14" t="e">
        <f t="shared" ref="J3:J34" si="0">VLOOKUP(I3,$AB$695:$AC$715,2,0)</f>
        <v>#N/A</v>
      </c>
      <c r="K3" s="175" t="s">
        <v>205</v>
      </c>
      <c r="L3" s="66"/>
      <c r="M3" s="67"/>
      <c r="N3" s="184" t="e">
        <f>AVERAGE(M3:M9)</f>
        <v>#DIV/0!</v>
      </c>
      <c r="O3" s="66"/>
      <c r="P3" s="67"/>
      <c r="Q3" s="184" t="e">
        <f>AVERAGE(P3:P9)</f>
        <v>#DIV/0!</v>
      </c>
      <c r="R3" s="66"/>
      <c r="S3" s="68"/>
      <c r="T3" s="184" t="e">
        <f>AVERAGE(S3:S9)</f>
        <v>#DIV/0!</v>
      </c>
      <c r="U3" s="158" t="e">
        <f>FLOOR(AVERAGE(N3*1,Q3*0.75,T3*0.5),1)</f>
        <v>#DIV/0!</v>
      </c>
      <c r="V3" s="158" t="e">
        <f>J3</f>
        <v>#N/A</v>
      </c>
      <c r="W3" s="187" t="e">
        <f>V3-U3</f>
        <v>#N/A</v>
      </c>
      <c r="X3" s="155" t="s">
        <v>226</v>
      </c>
      <c r="Y3" s="158" t="s">
        <v>227</v>
      </c>
    </row>
    <row r="4" spans="1:25" ht="21" customHeight="1" x14ac:dyDescent="0.35">
      <c r="A4" s="168"/>
      <c r="B4" s="170"/>
      <c r="C4" s="173"/>
      <c r="D4" s="47"/>
      <c r="E4" s="8"/>
      <c r="F4" s="1"/>
      <c r="G4" s="1"/>
      <c r="H4" s="1"/>
      <c r="I4" s="13">
        <f>G4*H4</f>
        <v>0</v>
      </c>
      <c r="J4" s="14" t="e">
        <f t="shared" si="0"/>
        <v>#N/A</v>
      </c>
      <c r="K4" s="176"/>
      <c r="L4" s="66"/>
      <c r="M4" s="67"/>
      <c r="N4" s="185"/>
      <c r="O4" s="66"/>
      <c r="P4" s="67"/>
      <c r="Q4" s="185"/>
      <c r="R4" s="66"/>
      <c r="S4" s="68"/>
      <c r="T4" s="185"/>
      <c r="U4" s="159"/>
      <c r="V4" s="159"/>
      <c r="W4" s="188"/>
      <c r="X4" s="156"/>
      <c r="Y4" s="159"/>
    </row>
    <row r="5" spans="1:25" ht="19.5" customHeight="1" x14ac:dyDescent="0.35">
      <c r="A5" s="168"/>
      <c r="B5" s="170"/>
      <c r="C5" s="173"/>
      <c r="D5" s="47"/>
      <c r="E5" s="42"/>
      <c r="F5" s="1"/>
      <c r="G5" s="1"/>
      <c r="H5" s="1"/>
      <c r="I5" s="13">
        <f t="shared" ref="I5:I9" si="1">G5*H5</f>
        <v>0</v>
      </c>
      <c r="J5" s="14" t="e">
        <f t="shared" si="0"/>
        <v>#N/A</v>
      </c>
      <c r="K5" s="176"/>
      <c r="L5" s="66"/>
      <c r="M5" s="67"/>
      <c r="N5" s="185"/>
      <c r="O5" s="66"/>
      <c r="P5" s="67"/>
      <c r="Q5" s="185"/>
      <c r="R5" s="66"/>
      <c r="S5" s="68"/>
      <c r="T5" s="185"/>
      <c r="U5" s="159"/>
      <c r="V5" s="159"/>
      <c r="W5" s="188"/>
      <c r="X5" s="156"/>
      <c r="Y5" s="159"/>
    </row>
    <row r="6" spans="1:25" ht="13.5" customHeight="1" x14ac:dyDescent="0.35">
      <c r="A6" s="168"/>
      <c r="B6" s="170"/>
      <c r="C6" s="173"/>
      <c r="D6" s="47"/>
      <c r="E6" s="8"/>
      <c r="F6" s="1"/>
      <c r="G6" s="1"/>
      <c r="H6" s="1"/>
      <c r="I6" s="13">
        <f t="shared" si="1"/>
        <v>0</v>
      </c>
      <c r="J6" s="14" t="e">
        <f t="shared" si="0"/>
        <v>#N/A</v>
      </c>
      <c r="K6" s="176"/>
      <c r="L6" s="66"/>
      <c r="M6" s="67"/>
      <c r="N6" s="185"/>
      <c r="O6" s="66"/>
      <c r="P6" s="67"/>
      <c r="Q6" s="185"/>
      <c r="R6" s="66"/>
      <c r="S6" s="68"/>
      <c r="T6" s="185"/>
      <c r="U6" s="159"/>
      <c r="V6" s="159"/>
      <c r="W6" s="188"/>
      <c r="X6" s="156"/>
      <c r="Y6" s="159"/>
    </row>
    <row r="7" spans="1:25" ht="15" customHeight="1" x14ac:dyDescent="0.35">
      <c r="A7" s="168"/>
      <c r="B7" s="170"/>
      <c r="C7" s="173"/>
      <c r="D7" s="47"/>
      <c r="E7" s="47"/>
      <c r="F7" s="1"/>
      <c r="G7" s="1"/>
      <c r="H7" s="1"/>
      <c r="I7" s="13">
        <f t="shared" si="1"/>
        <v>0</v>
      </c>
      <c r="J7" s="14" t="e">
        <f t="shared" si="0"/>
        <v>#N/A</v>
      </c>
      <c r="K7" s="176"/>
      <c r="L7" s="66"/>
      <c r="M7" s="67"/>
      <c r="N7" s="185"/>
      <c r="O7" s="66"/>
      <c r="P7" s="67"/>
      <c r="Q7" s="185"/>
      <c r="R7" s="66"/>
      <c r="S7" s="68"/>
      <c r="T7" s="185"/>
      <c r="U7" s="159"/>
      <c r="V7" s="159"/>
      <c r="W7" s="188"/>
      <c r="X7" s="156"/>
      <c r="Y7" s="159"/>
    </row>
    <row r="8" spans="1:25" ht="18.75" customHeight="1" x14ac:dyDescent="0.35">
      <c r="A8" s="168"/>
      <c r="B8" s="170"/>
      <c r="C8" s="173"/>
      <c r="D8" s="47"/>
      <c r="E8" s="47"/>
      <c r="F8" s="1"/>
      <c r="G8" s="1"/>
      <c r="H8" s="1"/>
      <c r="I8" s="13">
        <f t="shared" si="1"/>
        <v>0</v>
      </c>
      <c r="J8" s="14" t="e">
        <f t="shared" si="0"/>
        <v>#N/A</v>
      </c>
      <c r="K8" s="176"/>
      <c r="L8" s="66"/>
      <c r="M8" s="67"/>
      <c r="N8" s="185"/>
      <c r="O8" s="66"/>
      <c r="P8" s="67"/>
      <c r="Q8" s="185"/>
      <c r="R8" s="66"/>
      <c r="S8" s="68"/>
      <c r="T8" s="185"/>
      <c r="U8" s="159"/>
      <c r="V8" s="159"/>
      <c r="W8" s="188"/>
      <c r="X8" s="156"/>
      <c r="Y8" s="159"/>
    </row>
    <row r="9" spans="1:25" ht="14.25" customHeight="1" x14ac:dyDescent="0.35">
      <c r="A9" s="168"/>
      <c r="B9" s="171"/>
      <c r="C9" s="174"/>
      <c r="D9" s="47"/>
      <c r="E9" s="47"/>
      <c r="F9" s="1"/>
      <c r="G9" s="1"/>
      <c r="H9" s="1"/>
      <c r="I9" s="13">
        <f t="shared" si="1"/>
        <v>0</v>
      </c>
      <c r="J9" s="14" t="e">
        <f t="shared" si="0"/>
        <v>#N/A</v>
      </c>
      <c r="K9" s="183"/>
      <c r="L9" s="66"/>
      <c r="M9" s="67"/>
      <c r="N9" s="186"/>
      <c r="O9" s="66"/>
      <c r="P9" s="67"/>
      <c r="Q9" s="186"/>
      <c r="R9" s="66"/>
      <c r="S9" s="67"/>
      <c r="T9" s="186"/>
      <c r="U9" s="160"/>
      <c r="V9" s="160"/>
      <c r="W9" s="189"/>
      <c r="X9" s="157"/>
      <c r="Y9" s="160"/>
    </row>
    <row r="10" spans="1:25" ht="24" customHeight="1" x14ac:dyDescent="0.35">
      <c r="A10" s="167">
        <v>2</v>
      </c>
      <c r="B10" s="169" t="str">
        <f>'Asset Inventory'!B8</f>
        <v>Asset Class Name2
Description:-
Examples:-</v>
      </c>
      <c r="C10" s="172" t="e">
        <f>'Asset Inventory'!I8</f>
        <v>#N/A</v>
      </c>
      <c r="D10" s="47"/>
      <c r="E10" s="42"/>
      <c r="F10" s="1"/>
      <c r="G10" s="1"/>
      <c r="H10" s="1"/>
      <c r="I10" s="13">
        <f>G10*H10</f>
        <v>0</v>
      </c>
      <c r="J10" s="14" t="e">
        <f t="shared" si="0"/>
        <v>#N/A</v>
      </c>
      <c r="K10" s="175" t="s">
        <v>226</v>
      </c>
      <c r="L10" s="161" t="s">
        <v>227</v>
      </c>
      <c r="M10" s="161" t="s">
        <v>227</v>
      </c>
      <c r="N10" s="180" t="s">
        <v>227</v>
      </c>
      <c r="O10" s="161" t="s">
        <v>227</v>
      </c>
      <c r="P10" s="161" t="s">
        <v>227</v>
      </c>
      <c r="Q10" s="161" t="s">
        <v>227</v>
      </c>
      <c r="R10" s="161" t="s">
        <v>227</v>
      </c>
      <c r="S10" s="161" t="s">
        <v>227</v>
      </c>
      <c r="T10" s="161" t="s">
        <v>227</v>
      </c>
      <c r="U10" s="161" t="s">
        <v>227</v>
      </c>
      <c r="V10" s="161" t="s">
        <v>227</v>
      </c>
      <c r="W10" s="161" t="s">
        <v>229</v>
      </c>
      <c r="X10" s="161" t="s">
        <v>227</v>
      </c>
      <c r="Y10" s="161" t="s">
        <v>228</v>
      </c>
    </row>
    <row r="11" spans="1:25" ht="21" customHeight="1" x14ac:dyDescent="0.35">
      <c r="A11" s="168"/>
      <c r="B11" s="170"/>
      <c r="C11" s="173"/>
      <c r="D11" s="47"/>
      <c r="E11" s="8"/>
      <c r="F11" s="1"/>
      <c r="G11" s="1"/>
      <c r="H11" s="1"/>
      <c r="I11" s="13">
        <f>G11*H11</f>
        <v>0</v>
      </c>
      <c r="J11" s="14" t="e">
        <f t="shared" si="0"/>
        <v>#N/A</v>
      </c>
      <c r="K11" s="176"/>
      <c r="L11" s="162"/>
      <c r="M11" s="162"/>
      <c r="N11" s="181"/>
      <c r="O11" s="162"/>
      <c r="P11" s="162"/>
      <c r="Q11" s="162"/>
      <c r="R11" s="162"/>
      <c r="S11" s="162"/>
      <c r="T11" s="162"/>
      <c r="U11" s="162"/>
      <c r="V11" s="162"/>
      <c r="W11" s="162"/>
      <c r="X11" s="162"/>
      <c r="Y11" s="162"/>
    </row>
    <row r="12" spans="1:25" ht="19.5" customHeight="1" x14ac:dyDescent="0.35">
      <c r="A12" s="168"/>
      <c r="B12" s="170"/>
      <c r="C12" s="173"/>
      <c r="D12" s="47"/>
      <c r="E12" s="42"/>
      <c r="F12" s="1"/>
      <c r="G12" s="1"/>
      <c r="H12" s="1"/>
      <c r="I12" s="13">
        <f t="shared" ref="I12:I16" si="2">G12*H12</f>
        <v>0</v>
      </c>
      <c r="J12" s="14" t="e">
        <f t="shared" si="0"/>
        <v>#N/A</v>
      </c>
      <c r="K12" s="176"/>
      <c r="L12" s="162"/>
      <c r="M12" s="162"/>
      <c r="N12" s="181"/>
      <c r="O12" s="162"/>
      <c r="P12" s="162"/>
      <c r="Q12" s="162"/>
      <c r="R12" s="162"/>
      <c r="S12" s="162"/>
      <c r="T12" s="162"/>
      <c r="U12" s="162"/>
      <c r="V12" s="162"/>
      <c r="W12" s="162"/>
      <c r="X12" s="162"/>
      <c r="Y12" s="162"/>
    </row>
    <row r="13" spans="1:25" ht="13.5" customHeight="1" x14ac:dyDescent="0.35">
      <c r="A13" s="168"/>
      <c r="B13" s="170"/>
      <c r="C13" s="173"/>
      <c r="D13" s="47"/>
      <c r="E13" s="8"/>
      <c r="F13" s="1"/>
      <c r="G13" s="1"/>
      <c r="H13" s="1"/>
      <c r="I13" s="13">
        <f t="shared" si="2"/>
        <v>0</v>
      </c>
      <c r="J13" s="14" t="e">
        <f t="shared" si="0"/>
        <v>#N/A</v>
      </c>
      <c r="K13" s="176"/>
      <c r="L13" s="162"/>
      <c r="M13" s="162"/>
      <c r="N13" s="181"/>
      <c r="O13" s="162"/>
      <c r="P13" s="162"/>
      <c r="Q13" s="162"/>
      <c r="R13" s="162"/>
      <c r="S13" s="162"/>
      <c r="T13" s="162"/>
      <c r="U13" s="162"/>
      <c r="V13" s="162"/>
      <c r="W13" s="162"/>
      <c r="X13" s="162"/>
      <c r="Y13" s="162"/>
    </row>
    <row r="14" spans="1:25" ht="15" customHeight="1" x14ac:dyDescent="0.35">
      <c r="A14" s="168"/>
      <c r="B14" s="170"/>
      <c r="C14" s="173"/>
      <c r="D14" s="47"/>
      <c r="E14" s="47"/>
      <c r="F14" s="1"/>
      <c r="G14" s="1"/>
      <c r="H14" s="1"/>
      <c r="I14" s="13">
        <f t="shared" si="2"/>
        <v>0</v>
      </c>
      <c r="J14" s="14" t="e">
        <f t="shared" si="0"/>
        <v>#N/A</v>
      </c>
      <c r="K14" s="176"/>
      <c r="L14" s="162"/>
      <c r="M14" s="162"/>
      <c r="N14" s="181"/>
      <c r="O14" s="162"/>
      <c r="P14" s="162"/>
      <c r="Q14" s="162"/>
      <c r="R14" s="162"/>
      <c r="S14" s="162"/>
      <c r="T14" s="162"/>
      <c r="U14" s="162"/>
      <c r="V14" s="162"/>
      <c r="W14" s="162"/>
      <c r="X14" s="162"/>
      <c r="Y14" s="162"/>
    </row>
    <row r="15" spans="1:25" ht="18.75" customHeight="1" x14ac:dyDescent="0.35">
      <c r="A15" s="168"/>
      <c r="B15" s="170"/>
      <c r="C15" s="173"/>
      <c r="D15" s="47"/>
      <c r="E15" s="47"/>
      <c r="F15" s="1"/>
      <c r="G15" s="1"/>
      <c r="H15" s="1"/>
      <c r="I15" s="13">
        <f t="shared" si="2"/>
        <v>0</v>
      </c>
      <c r="J15" s="14" t="e">
        <f t="shared" si="0"/>
        <v>#N/A</v>
      </c>
      <c r="K15" s="176"/>
      <c r="L15" s="162"/>
      <c r="M15" s="162"/>
      <c r="N15" s="181"/>
      <c r="O15" s="162"/>
      <c r="P15" s="162"/>
      <c r="Q15" s="162"/>
      <c r="R15" s="162"/>
      <c r="S15" s="162"/>
      <c r="T15" s="162"/>
      <c r="U15" s="162"/>
      <c r="V15" s="162"/>
      <c r="W15" s="162"/>
      <c r="X15" s="162"/>
      <c r="Y15" s="162"/>
    </row>
    <row r="16" spans="1:25" ht="14.25" customHeight="1" x14ac:dyDescent="0.35">
      <c r="A16" s="168"/>
      <c r="B16" s="171"/>
      <c r="C16" s="174"/>
      <c r="D16" s="47"/>
      <c r="E16" s="47"/>
      <c r="F16" s="1"/>
      <c r="G16" s="1"/>
      <c r="H16" s="1"/>
      <c r="I16" s="13">
        <f t="shared" si="2"/>
        <v>0</v>
      </c>
      <c r="J16" s="14" t="e">
        <f t="shared" si="0"/>
        <v>#N/A</v>
      </c>
      <c r="K16" s="183"/>
      <c r="L16" s="163"/>
      <c r="M16" s="163"/>
      <c r="N16" s="182"/>
      <c r="O16" s="163"/>
      <c r="P16" s="163"/>
      <c r="Q16" s="163"/>
      <c r="R16" s="163"/>
      <c r="S16" s="163"/>
      <c r="T16" s="163"/>
      <c r="U16" s="163"/>
      <c r="V16" s="163"/>
      <c r="W16" s="163"/>
      <c r="X16" s="163"/>
      <c r="Y16" s="163"/>
    </row>
    <row r="17" spans="1:25" ht="24" customHeight="1" x14ac:dyDescent="0.35">
      <c r="A17" s="167">
        <v>3</v>
      </c>
      <c r="B17" s="169" t="str">
        <f>'Asset Inventory'!B9</f>
        <v>Asset Class Name3
Description:-
Examples:-</v>
      </c>
      <c r="C17" s="172" t="e">
        <f>'Asset Inventory'!I9</f>
        <v>#N/A</v>
      </c>
      <c r="D17" s="47"/>
      <c r="E17" s="42"/>
      <c r="F17" s="1"/>
      <c r="G17" s="1"/>
      <c r="H17" s="1"/>
      <c r="I17" s="13">
        <f>G17*H17</f>
        <v>0</v>
      </c>
      <c r="J17" s="14" t="e">
        <f t="shared" si="0"/>
        <v>#N/A</v>
      </c>
      <c r="K17" s="175" t="s">
        <v>205</v>
      </c>
      <c r="L17" s="66"/>
      <c r="M17" s="67"/>
      <c r="N17" s="179" t="e">
        <f>AVERAGE(M17,M18,M19)</f>
        <v>#DIV/0!</v>
      </c>
      <c r="O17" s="66"/>
      <c r="P17" s="67"/>
      <c r="Q17" s="179" t="e">
        <f>AVERAGE(P17,P18,P19)</f>
        <v>#DIV/0!</v>
      </c>
      <c r="R17" s="66"/>
      <c r="S17" s="68"/>
      <c r="T17" s="179" t="e">
        <f>AVERAGE(S17,S18,S19)</f>
        <v>#DIV/0!</v>
      </c>
      <c r="U17" s="166" t="e">
        <f>FLOOR(AVERAGE(N17*1,Q17*0.75,T17*0.5),1)</f>
        <v>#DIV/0!</v>
      </c>
      <c r="V17" s="166" t="e">
        <f>J17</f>
        <v>#N/A</v>
      </c>
      <c r="W17" s="164" t="e">
        <f>V17-U17</f>
        <v>#N/A</v>
      </c>
      <c r="X17" s="165" t="s">
        <v>226</v>
      </c>
      <c r="Y17" s="166" t="s">
        <v>227</v>
      </c>
    </row>
    <row r="18" spans="1:25" ht="21" customHeight="1" x14ac:dyDescent="0.35">
      <c r="A18" s="168"/>
      <c r="B18" s="170"/>
      <c r="C18" s="173"/>
      <c r="D18" s="47"/>
      <c r="E18" s="8"/>
      <c r="F18" s="1"/>
      <c r="G18" s="1"/>
      <c r="H18" s="1"/>
      <c r="I18" s="13">
        <f>G18*H18</f>
        <v>0</v>
      </c>
      <c r="J18" s="14" t="e">
        <f t="shared" si="0"/>
        <v>#N/A</v>
      </c>
      <c r="K18" s="176"/>
      <c r="L18" s="66"/>
      <c r="M18" s="67"/>
      <c r="N18" s="179"/>
      <c r="O18" s="66"/>
      <c r="P18" s="67"/>
      <c r="Q18" s="179"/>
      <c r="R18" s="66"/>
      <c r="S18" s="68"/>
      <c r="T18" s="179"/>
      <c r="U18" s="166"/>
      <c r="V18" s="166"/>
      <c r="W18" s="164"/>
      <c r="X18" s="165"/>
      <c r="Y18" s="166"/>
    </row>
    <row r="19" spans="1:25" ht="19.5" customHeight="1" x14ac:dyDescent="0.35">
      <c r="A19" s="168"/>
      <c r="B19" s="170"/>
      <c r="C19" s="173"/>
      <c r="D19" s="47"/>
      <c r="E19" s="42"/>
      <c r="F19" s="1"/>
      <c r="G19" s="1"/>
      <c r="H19" s="1"/>
      <c r="I19" s="13">
        <f t="shared" ref="I19:I24" si="3">G19*H19</f>
        <v>0</v>
      </c>
      <c r="J19" s="14" t="e">
        <f t="shared" si="0"/>
        <v>#N/A</v>
      </c>
      <c r="K19" s="176"/>
      <c r="L19" s="66"/>
      <c r="M19" s="67"/>
      <c r="N19" s="179"/>
      <c r="O19" s="66"/>
      <c r="P19" s="67"/>
      <c r="Q19" s="179"/>
      <c r="R19" s="66"/>
      <c r="S19" s="68"/>
      <c r="T19" s="179"/>
      <c r="U19" s="166"/>
      <c r="V19" s="166"/>
      <c r="W19" s="164"/>
      <c r="X19" s="165"/>
      <c r="Y19" s="166"/>
    </row>
    <row r="20" spans="1:25" ht="13.5" customHeight="1" x14ac:dyDescent="0.35">
      <c r="A20" s="168"/>
      <c r="B20" s="170"/>
      <c r="C20" s="173"/>
      <c r="D20" s="47"/>
      <c r="E20" s="8"/>
      <c r="F20" s="1"/>
      <c r="G20" s="1"/>
      <c r="H20" s="1"/>
      <c r="I20" s="13">
        <f t="shared" si="3"/>
        <v>0</v>
      </c>
      <c r="J20" s="14" t="e">
        <f t="shared" si="0"/>
        <v>#N/A</v>
      </c>
      <c r="K20" s="74" t="s">
        <v>226</v>
      </c>
      <c r="L20" s="70" t="s">
        <v>227</v>
      </c>
      <c r="M20" s="70" t="s">
        <v>227</v>
      </c>
      <c r="N20" s="70" t="s">
        <v>227</v>
      </c>
      <c r="O20" s="70" t="s">
        <v>227</v>
      </c>
      <c r="P20" s="70" t="s">
        <v>227</v>
      </c>
      <c r="Q20" s="70" t="s">
        <v>227</v>
      </c>
      <c r="R20" s="70" t="s">
        <v>227</v>
      </c>
      <c r="S20" s="70" t="s">
        <v>227</v>
      </c>
      <c r="T20" s="70" t="s">
        <v>227</v>
      </c>
      <c r="U20" s="70" t="s">
        <v>227</v>
      </c>
      <c r="V20" s="70" t="s">
        <v>227</v>
      </c>
      <c r="W20" s="70" t="s">
        <v>227</v>
      </c>
      <c r="X20" s="70" t="s">
        <v>227</v>
      </c>
      <c r="Y20" s="69" t="s">
        <v>228</v>
      </c>
    </row>
    <row r="21" spans="1:25" ht="15" customHeight="1" x14ac:dyDescent="0.35">
      <c r="A21" s="168"/>
      <c r="B21" s="170"/>
      <c r="C21" s="173"/>
      <c r="D21" s="47"/>
      <c r="E21" s="47"/>
      <c r="F21" s="1"/>
      <c r="G21" s="1"/>
      <c r="H21" s="1"/>
      <c r="I21" s="13">
        <f t="shared" si="3"/>
        <v>0</v>
      </c>
      <c r="J21" s="14" t="e">
        <f t="shared" si="0"/>
        <v>#N/A</v>
      </c>
      <c r="K21" s="74" t="s">
        <v>226</v>
      </c>
      <c r="L21" s="70" t="s">
        <v>227</v>
      </c>
      <c r="M21" s="70" t="s">
        <v>227</v>
      </c>
      <c r="N21" s="70" t="s">
        <v>227</v>
      </c>
      <c r="O21" s="70" t="s">
        <v>227</v>
      </c>
      <c r="P21" s="70" t="s">
        <v>227</v>
      </c>
      <c r="Q21" s="70" t="s">
        <v>227</v>
      </c>
      <c r="R21" s="70" t="s">
        <v>227</v>
      </c>
      <c r="S21" s="70" t="s">
        <v>227</v>
      </c>
      <c r="T21" s="70" t="s">
        <v>227</v>
      </c>
      <c r="U21" s="70" t="s">
        <v>227</v>
      </c>
      <c r="V21" s="70" t="s">
        <v>227</v>
      </c>
      <c r="W21" s="70" t="s">
        <v>227</v>
      </c>
      <c r="X21" s="70" t="s">
        <v>227</v>
      </c>
      <c r="Y21" s="69" t="s">
        <v>228</v>
      </c>
    </row>
    <row r="22" spans="1:25" ht="15" customHeight="1" x14ac:dyDescent="0.35">
      <c r="A22" s="168"/>
      <c r="B22" s="170"/>
      <c r="C22" s="173"/>
      <c r="D22" s="47"/>
      <c r="E22" s="47"/>
      <c r="F22" s="1"/>
      <c r="G22" s="1"/>
      <c r="H22" s="1"/>
      <c r="I22" s="13">
        <f t="shared" si="3"/>
        <v>0</v>
      </c>
      <c r="J22" s="14" t="e">
        <f t="shared" si="0"/>
        <v>#N/A</v>
      </c>
      <c r="K22" s="175" t="s">
        <v>205</v>
      </c>
      <c r="L22" s="70"/>
      <c r="M22" s="70"/>
      <c r="N22" s="179" t="e">
        <f>AVERAGE(M22,M23,M24)</f>
        <v>#DIV/0!</v>
      </c>
      <c r="O22" s="70"/>
      <c r="P22" s="70"/>
      <c r="Q22" s="179" t="e">
        <f>AVERAGE(P22,P23,P24)</f>
        <v>#DIV/0!</v>
      </c>
      <c r="R22" s="70"/>
      <c r="S22" s="70"/>
      <c r="T22" s="179" t="e">
        <f>AVERAGE(S22,S23,S24)</f>
        <v>#DIV/0!</v>
      </c>
      <c r="U22" s="166" t="e">
        <f>FLOOR(AVERAGE(N22*1,Q22*0.75,T22*0.5),1)</f>
        <v>#DIV/0!</v>
      </c>
      <c r="V22" s="166" t="e">
        <f>J22</f>
        <v>#N/A</v>
      </c>
      <c r="W22" s="164" t="e">
        <f>V22-U22</f>
        <v>#N/A</v>
      </c>
      <c r="X22" s="165" t="s">
        <v>226</v>
      </c>
      <c r="Y22" s="166" t="s">
        <v>227</v>
      </c>
    </row>
    <row r="23" spans="1:25" ht="18.75" customHeight="1" x14ac:dyDescent="0.35">
      <c r="A23" s="168"/>
      <c r="B23" s="170"/>
      <c r="C23" s="173"/>
      <c r="D23" s="47"/>
      <c r="E23" s="47"/>
      <c r="F23" s="1"/>
      <c r="G23" s="1"/>
      <c r="H23" s="1"/>
      <c r="I23" s="13">
        <f t="shared" si="3"/>
        <v>0</v>
      </c>
      <c r="J23" s="14" t="e">
        <f t="shared" si="0"/>
        <v>#N/A</v>
      </c>
      <c r="K23" s="176"/>
      <c r="L23" s="66"/>
      <c r="M23" s="67"/>
      <c r="N23" s="179"/>
      <c r="O23" s="66"/>
      <c r="P23" s="67"/>
      <c r="Q23" s="179"/>
      <c r="R23" s="66"/>
      <c r="S23" s="68"/>
      <c r="T23" s="179"/>
      <c r="U23" s="166"/>
      <c r="V23" s="166"/>
      <c r="W23" s="164"/>
      <c r="X23" s="165"/>
      <c r="Y23" s="166"/>
    </row>
    <row r="24" spans="1:25" ht="14.25" customHeight="1" x14ac:dyDescent="0.35">
      <c r="A24" s="168"/>
      <c r="B24" s="171"/>
      <c r="C24" s="174"/>
      <c r="D24" s="47"/>
      <c r="E24" s="47"/>
      <c r="F24" s="1"/>
      <c r="G24" s="1"/>
      <c r="H24" s="1"/>
      <c r="I24" s="13">
        <f t="shared" si="3"/>
        <v>0</v>
      </c>
      <c r="J24" s="14" t="e">
        <f t="shared" si="0"/>
        <v>#N/A</v>
      </c>
      <c r="K24" s="176"/>
      <c r="L24" s="66"/>
      <c r="M24" s="67"/>
      <c r="N24" s="179"/>
      <c r="O24" s="66"/>
      <c r="P24" s="67"/>
      <c r="Q24" s="179"/>
      <c r="R24" s="66"/>
      <c r="S24" s="68"/>
      <c r="T24" s="179"/>
      <c r="U24" s="166"/>
      <c r="V24" s="166"/>
      <c r="W24" s="164"/>
      <c r="X24" s="165"/>
      <c r="Y24" s="166"/>
    </row>
    <row r="25" spans="1:25" ht="24" customHeight="1" x14ac:dyDescent="0.35">
      <c r="A25" s="167">
        <v>4</v>
      </c>
      <c r="B25" s="169" t="str">
        <f>'Asset Inventory'!B10</f>
        <v>Asset Class Name4
Description:-
Examples:-</v>
      </c>
      <c r="C25" s="172" t="e">
        <f>'Asset Inventory'!I10</f>
        <v>#N/A</v>
      </c>
      <c r="D25" s="47"/>
      <c r="E25" s="42"/>
      <c r="F25" s="1"/>
      <c r="G25" s="1"/>
      <c r="H25" s="1"/>
      <c r="I25" s="13">
        <f>G25*H25</f>
        <v>0</v>
      </c>
      <c r="J25" s="14" t="e">
        <f t="shared" si="0"/>
        <v>#N/A</v>
      </c>
      <c r="K25" s="175" t="s">
        <v>205</v>
      </c>
      <c r="L25" s="66"/>
      <c r="M25" s="67"/>
      <c r="N25" s="179" t="e">
        <f>AVERAGE(M25,M26,M27)</f>
        <v>#DIV/0!</v>
      </c>
      <c r="O25" s="66"/>
      <c r="P25" s="67"/>
      <c r="Q25" s="179" t="e">
        <f>AVERAGE(P25,P26,P27)</f>
        <v>#DIV/0!</v>
      </c>
      <c r="R25" s="66"/>
      <c r="S25" s="68"/>
      <c r="T25" s="179" t="e">
        <f>AVERAGE(S25,S26,S27)</f>
        <v>#DIV/0!</v>
      </c>
      <c r="U25" s="166" t="e">
        <f>FLOOR(AVERAGE(N25*1,Q25*0.75,T25*0.5),1)</f>
        <v>#DIV/0!</v>
      </c>
      <c r="V25" s="166" t="e">
        <f>J25</f>
        <v>#N/A</v>
      </c>
      <c r="W25" s="164" t="e">
        <f>V25-U25</f>
        <v>#N/A</v>
      </c>
      <c r="X25" s="165" t="s">
        <v>226</v>
      </c>
      <c r="Y25" s="166" t="s">
        <v>227</v>
      </c>
    </row>
    <row r="26" spans="1:25" ht="21" customHeight="1" x14ac:dyDescent="0.35">
      <c r="A26" s="168"/>
      <c r="B26" s="170"/>
      <c r="C26" s="173"/>
      <c r="D26" s="47"/>
      <c r="E26" s="8"/>
      <c r="F26" s="1"/>
      <c r="G26" s="1"/>
      <c r="H26" s="1"/>
      <c r="I26" s="13">
        <f>G26*H26</f>
        <v>0</v>
      </c>
      <c r="J26" s="14" t="e">
        <f t="shared" si="0"/>
        <v>#N/A</v>
      </c>
      <c r="K26" s="176"/>
      <c r="L26" s="66"/>
      <c r="M26" s="67"/>
      <c r="N26" s="179"/>
      <c r="O26" s="66"/>
      <c r="P26" s="67"/>
      <c r="Q26" s="179"/>
      <c r="R26" s="66"/>
      <c r="S26" s="68"/>
      <c r="T26" s="179"/>
      <c r="U26" s="166"/>
      <c r="V26" s="166"/>
      <c r="W26" s="164"/>
      <c r="X26" s="165"/>
      <c r="Y26" s="166"/>
    </row>
    <row r="27" spans="1:25" ht="19.5" customHeight="1" x14ac:dyDescent="0.35">
      <c r="A27" s="168"/>
      <c r="B27" s="170"/>
      <c r="C27" s="173"/>
      <c r="D27" s="47"/>
      <c r="E27" s="42"/>
      <c r="F27" s="1"/>
      <c r="G27" s="1"/>
      <c r="H27" s="1"/>
      <c r="I27" s="13">
        <f t="shared" ref="I27:I32" si="4">G27*H27</f>
        <v>0</v>
      </c>
      <c r="J27" s="14" t="e">
        <f t="shared" si="0"/>
        <v>#N/A</v>
      </c>
      <c r="K27" s="176"/>
      <c r="L27" s="66"/>
      <c r="M27" s="67"/>
      <c r="N27" s="179"/>
      <c r="O27" s="66"/>
      <c r="P27" s="67"/>
      <c r="Q27" s="179"/>
      <c r="R27" s="66"/>
      <c r="S27" s="68"/>
      <c r="T27" s="179"/>
      <c r="U27" s="166"/>
      <c r="V27" s="166"/>
      <c r="W27" s="164"/>
      <c r="X27" s="165"/>
      <c r="Y27" s="166"/>
    </row>
    <row r="28" spans="1:25" ht="13.5" customHeight="1" x14ac:dyDescent="0.35">
      <c r="A28" s="168"/>
      <c r="B28" s="170"/>
      <c r="C28" s="173"/>
      <c r="D28" s="47"/>
      <c r="E28" s="8"/>
      <c r="F28" s="1"/>
      <c r="G28" s="1"/>
      <c r="H28" s="1"/>
      <c r="I28" s="13">
        <f t="shared" si="4"/>
        <v>0</v>
      </c>
      <c r="J28" s="14" t="e">
        <f t="shared" si="0"/>
        <v>#N/A</v>
      </c>
      <c r="K28" s="74" t="s">
        <v>226</v>
      </c>
      <c r="L28" s="70" t="s">
        <v>227</v>
      </c>
      <c r="M28" s="70" t="s">
        <v>227</v>
      </c>
      <c r="N28" s="70" t="s">
        <v>227</v>
      </c>
      <c r="O28" s="70" t="s">
        <v>227</v>
      </c>
      <c r="P28" s="70" t="s">
        <v>227</v>
      </c>
      <c r="Q28" s="70" t="s">
        <v>227</v>
      </c>
      <c r="R28" s="70" t="s">
        <v>227</v>
      </c>
      <c r="S28" s="70" t="s">
        <v>227</v>
      </c>
      <c r="T28" s="70" t="s">
        <v>227</v>
      </c>
      <c r="U28" s="70" t="s">
        <v>227</v>
      </c>
      <c r="V28" s="70" t="s">
        <v>227</v>
      </c>
      <c r="W28" s="70" t="s">
        <v>227</v>
      </c>
      <c r="X28" s="70" t="s">
        <v>227</v>
      </c>
      <c r="Y28" s="69" t="s">
        <v>228</v>
      </c>
    </row>
    <row r="29" spans="1:25" ht="15" customHeight="1" x14ac:dyDescent="0.35">
      <c r="A29" s="168"/>
      <c r="B29" s="170"/>
      <c r="C29" s="173"/>
      <c r="D29" s="47"/>
      <c r="E29" s="47"/>
      <c r="F29" s="1"/>
      <c r="G29" s="1"/>
      <c r="H29" s="1"/>
      <c r="I29" s="13">
        <f t="shared" si="4"/>
        <v>0</v>
      </c>
      <c r="J29" s="14" t="e">
        <f t="shared" si="0"/>
        <v>#N/A</v>
      </c>
      <c r="K29" s="74" t="s">
        <v>226</v>
      </c>
      <c r="L29" s="70" t="s">
        <v>227</v>
      </c>
      <c r="M29" s="70" t="s">
        <v>227</v>
      </c>
      <c r="N29" s="70" t="s">
        <v>227</v>
      </c>
      <c r="O29" s="70" t="s">
        <v>227</v>
      </c>
      <c r="P29" s="70" t="s">
        <v>227</v>
      </c>
      <c r="Q29" s="70" t="s">
        <v>227</v>
      </c>
      <c r="R29" s="70" t="s">
        <v>227</v>
      </c>
      <c r="S29" s="70" t="s">
        <v>227</v>
      </c>
      <c r="T29" s="70" t="s">
        <v>227</v>
      </c>
      <c r="U29" s="70" t="s">
        <v>227</v>
      </c>
      <c r="V29" s="70" t="s">
        <v>227</v>
      </c>
      <c r="W29" s="70" t="s">
        <v>227</v>
      </c>
      <c r="X29" s="70" t="s">
        <v>227</v>
      </c>
      <c r="Y29" s="69" t="s">
        <v>228</v>
      </c>
    </row>
    <row r="30" spans="1:25" ht="15" customHeight="1" x14ac:dyDescent="0.35">
      <c r="A30" s="168"/>
      <c r="B30" s="170"/>
      <c r="C30" s="173"/>
      <c r="D30" s="47"/>
      <c r="E30" s="47"/>
      <c r="F30" s="1"/>
      <c r="G30" s="1"/>
      <c r="H30" s="1"/>
      <c r="I30" s="13">
        <f t="shared" si="4"/>
        <v>0</v>
      </c>
      <c r="J30" s="14" t="e">
        <f t="shared" si="0"/>
        <v>#N/A</v>
      </c>
      <c r="K30" s="175" t="s">
        <v>205</v>
      </c>
      <c r="L30" s="70"/>
      <c r="M30" s="70"/>
      <c r="N30" s="179" t="e">
        <f>AVERAGE(M30,M31,M32)</f>
        <v>#DIV/0!</v>
      </c>
      <c r="O30" s="70"/>
      <c r="P30" s="70"/>
      <c r="Q30" s="179" t="e">
        <f>AVERAGE(P30,P31,P32)</f>
        <v>#DIV/0!</v>
      </c>
      <c r="R30" s="70"/>
      <c r="S30" s="70"/>
      <c r="T30" s="179" t="e">
        <f>AVERAGE(S30,S31,S32)</f>
        <v>#DIV/0!</v>
      </c>
      <c r="U30" s="166" t="e">
        <f>FLOOR(AVERAGE(N30*1,Q30*0.75,T30*0.5),1)</f>
        <v>#DIV/0!</v>
      </c>
      <c r="V30" s="166" t="e">
        <f>J30</f>
        <v>#N/A</v>
      </c>
      <c r="W30" s="164" t="e">
        <f>V30-U30</f>
        <v>#N/A</v>
      </c>
      <c r="X30" s="165" t="s">
        <v>226</v>
      </c>
      <c r="Y30" s="166" t="s">
        <v>227</v>
      </c>
    </row>
    <row r="31" spans="1:25" ht="18.75" customHeight="1" x14ac:dyDescent="0.35">
      <c r="A31" s="168"/>
      <c r="B31" s="170"/>
      <c r="C31" s="173"/>
      <c r="D31" s="47"/>
      <c r="E31" s="47"/>
      <c r="F31" s="1"/>
      <c r="G31" s="1"/>
      <c r="H31" s="1"/>
      <c r="I31" s="13">
        <f t="shared" si="4"/>
        <v>0</v>
      </c>
      <c r="J31" s="14" t="e">
        <f t="shared" si="0"/>
        <v>#N/A</v>
      </c>
      <c r="K31" s="176"/>
      <c r="L31" s="66"/>
      <c r="M31" s="67"/>
      <c r="N31" s="179"/>
      <c r="O31" s="66"/>
      <c r="P31" s="67"/>
      <c r="Q31" s="179"/>
      <c r="R31" s="66"/>
      <c r="S31" s="68"/>
      <c r="T31" s="179"/>
      <c r="U31" s="166"/>
      <c r="V31" s="166"/>
      <c r="W31" s="164"/>
      <c r="X31" s="165"/>
      <c r="Y31" s="166"/>
    </row>
    <row r="32" spans="1:25" ht="14.25" customHeight="1" x14ac:dyDescent="0.35">
      <c r="A32" s="168"/>
      <c r="B32" s="171"/>
      <c r="C32" s="174"/>
      <c r="D32" s="47"/>
      <c r="E32" s="47"/>
      <c r="F32" s="1"/>
      <c r="G32" s="1"/>
      <c r="H32" s="1"/>
      <c r="I32" s="13">
        <f t="shared" si="4"/>
        <v>0</v>
      </c>
      <c r="J32" s="14" t="e">
        <f t="shared" si="0"/>
        <v>#N/A</v>
      </c>
      <c r="K32" s="176"/>
      <c r="L32" s="66"/>
      <c r="M32" s="67"/>
      <c r="N32" s="179"/>
      <c r="O32" s="66"/>
      <c r="P32" s="67"/>
      <c r="Q32" s="179"/>
      <c r="R32" s="66"/>
      <c r="S32" s="68"/>
      <c r="T32" s="179"/>
      <c r="U32" s="166"/>
      <c r="V32" s="166"/>
      <c r="W32" s="164"/>
      <c r="X32" s="165"/>
      <c r="Y32" s="166"/>
    </row>
    <row r="33" spans="1:25" ht="24" customHeight="1" x14ac:dyDescent="0.35">
      <c r="A33" s="167">
        <v>5</v>
      </c>
      <c r="B33" s="169" t="str">
        <f>'Asset Inventory'!B11</f>
        <v>Asset Class Name5
Description:-
Examples:-</v>
      </c>
      <c r="C33" s="172" t="e">
        <f>'Asset Inventory'!I11</f>
        <v>#N/A</v>
      </c>
      <c r="D33" s="47"/>
      <c r="E33" s="42"/>
      <c r="F33" s="1"/>
      <c r="G33" s="1"/>
      <c r="H33" s="1"/>
      <c r="I33" s="13">
        <f>G33*H33</f>
        <v>0</v>
      </c>
      <c r="J33" s="14" t="e">
        <f t="shared" si="0"/>
        <v>#N/A</v>
      </c>
      <c r="K33" s="175" t="s">
        <v>205</v>
      </c>
      <c r="L33" s="66"/>
      <c r="M33" s="67"/>
      <c r="N33" s="179" t="e">
        <f>AVERAGE(M33,M34,M35)</f>
        <v>#DIV/0!</v>
      </c>
      <c r="O33" s="66"/>
      <c r="P33" s="67"/>
      <c r="Q33" s="179" t="e">
        <f>AVERAGE(P33,P34,P35)</f>
        <v>#DIV/0!</v>
      </c>
      <c r="R33" s="66"/>
      <c r="S33" s="68"/>
      <c r="T33" s="179" t="e">
        <f>AVERAGE(S33,S34,S35)</f>
        <v>#DIV/0!</v>
      </c>
      <c r="U33" s="166" t="e">
        <f>FLOOR(AVERAGE(N33*1,Q33*0.75,T33*0.5),1)</f>
        <v>#DIV/0!</v>
      </c>
      <c r="V33" s="166" t="e">
        <f>J33</f>
        <v>#N/A</v>
      </c>
      <c r="W33" s="164" t="e">
        <f>V33-U33</f>
        <v>#N/A</v>
      </c>
      <c r="X33" s="165" t="s">
        <v>226</v>
      </c>
      <c r="Y33" s="166" t="s">
        <v>227</v>
      </c>
    </row>
    <row r="34" spans="1:25" ht="21" customHeight="1" x14ac:dyDescent="0.35">
      <c r="A34" s="168"/>
      <c r="B34" s="170"/>
      <c r="C34" s="173"/>
      <c r="D34" s="47"/>
      <c r="E34" s="8"/>
      <c r="F34" s="1"/>
      <c r="G34" s="1"/>
      <c r="H34" s="1"/>
      <c r="I34" s="13">
        <f>G34*H34</f>
        <v>0</v>
      </c>
      <c r="J34" s="14" t="e">
        <f t="shared" si="0"/>
        <v>#N/A</v>
      </c>
      <c r="K34" s="176"/>
      <c r="L34" s="66"/>
      <c r="M34" s="67"/>
      <c r="N34" s="179"/>
      <c r="O34" s="66"/>
      <c r="P34" s="67"/>
      <c r="Q34" s="179"/>
      <c r="R34" s="66"/>
      <c r="S34" s="68"/>
      <c r="T34" s="179"/>
      <c r="U34" s="166"/>
      <c r="V34" s="166"/>
      <c r="W34" s="164"/>
      <c r="X34" s="165"/>
      <c r="Y34" s="166"/>
    </row>
    <row r="35" spans="1:25" ht="19.5" customHeight="1" x14ac:dyDescent="0.35">
      <c r="A35" s="168"/>
      <c r="B35" s="170"/>
      <c r="C35" s="173"/>
      <c r="D35" s="47"/>
      <c r="E35" s="42"/>
      <c r="F35" s="1"/>
      <c r="G35" s="1"/>
      <c r="H35" s="1"/>
      <c r="I35" s="13">
        <f t="shared" ref="I35:I40" si="5">G35*H35</f>
        <v>0</v>
      </c>
      <c r="J35" s="14" t="e">
        <f t="shared" ref="J35:J66" si="6">VLOOKUP(I35,$AB$695:$AC$715,2,0)</f>
        <v>#N/A</v>
      </c>
      <c r="K35" s="176"/>
      <c r="L35" s="66"/>
      <c r="M35" s="67"/>
      <c r="N35" s="179"/>
      <c r="O35" s="66"/>
      <c r="P35" s="67"/>
      <c r="Q35" s="179"/>
      <c r="R35" s="66"/>
      <c r="S35" s="68"/>
      <c r="T35" s="179"/>
      <c r="U35" s="166"/>
      <c r="V35" s="166"/>
      <c r="W35" s="164"/>
      <c r="X35" s="165"/>
      <c r="Y35" s="166"/>
    </row>
    <row r="36" spans="1:25" ht="13.5" customHeight="1" x14ac:dyDescent="0.35">
      <c r="A36" s="168"/>
      <c r="B36" s="170"/>
      <c r="C36" s="173"/>
      <c r="D36" s="47"/>
      <c r="E36" s="8"/>
      <c r="F36" s="1"/>
      <c r="G36" s="1"/>
      <c r="H36" s="1"/>
      <c r="I36" s="13">
        <f t="shared" si="5"/>
        <v>0</v>
      </c>
      <c r="J36" s="14" t="e">
        <f t="shared" si="6"/>
        <v>#N/A</v>
      </c>
      <c r="K36" s="74" t="s">
        <v>226</v>
      </c>
      <c r="L36" s="70" t="s">
        <v>227</v>
      </c>
      <c r="M36" s="70" t="s">
        <v>227</v>
      </c>
      <c r="N36" s="70" t="s">
        <v>227</v>
      </c>
      <c r="O36" s="70" t="s">
        <v>227</v>
      </c>
      <c r="P36" s="70" t="s">
        <v>227</v>
      </c>
      <c r="Q36" s="70" t="s">
        <v>227</v>
      </c>
      <c r="R36" s="70" t="s">
        <v>227</v>
      </c>
      <c r="S36" s="70" t="s">
        <v>227</v>
      </c>
      <c r="T36" s="70" t="s">
        <v>227</v>
      </c>
      <c r="U36" s="70" t="s">
        <v>227</v>
      </c>
      <c r="V36" s="70" t="s">
        <v>227</v>
      </c>
      <c r="W36" s="70" t="s">
        <v>227</v>
      </c>
      <c r="X36" s="70" t="s">
        <v>227</v>
      </c>
      <c r="Y36" s="69" t="s">
        <v>228</v>
      </c>
    </row>
    <row r="37" spans="1:25" ht="15" customHeight="1" x14ac:dyDescent="0.35">
      <c r="A37" s="168"/>
      <c r="B37" s="170"/>
      <c r="C37" s="173"/>
      <c r="D37" s="47"/>
      <c r="E37" s="47"/>
      <c r="F37" s="1"/>
      <c r="G37" s="1"/>
      <c r="H37" s="1"/>
      <c r="I37" s="13">
        <f t="shared" si="5"/>
        <v>0</v>
      </c>
      <c r="J37" s="14" t="e">
        <f t="shared" si="6"/>
        <v>#N/A</v>
      </c>
      <c r="K37" s="74" t="s">
        <v>226</v>
      </c>
      <c r="L37" s="70" t="s">
        <v>227</v>
      </c>
      <c r="M37" s="70" t="s">
        <v>227</v>
      </c>
      <c r="N37" s="70" t="s">
        <v>227</v>
      </c>
      <c r="O37" s="70" t="s">
        <v>227</v>
      </c>
      <c r="P37" s="70" t="s">
        <v>227</v>
      </c>
      <c r="Q37" s="70" t="s">
        <v>227</v>
      </c>
      <c r="R37" s="70" t="s">
        <v>227</v>
      </c>
      <c r="S37" s="70" t="s">
        <v>227</v>
      </c>
      <c r="T37" s="70" t="s">
        <v>227</v>
      </c>
      <c r="U37" s="70" t="s">
        <v>227</v>
      </c>
      <c r="V37" s="70" t="s">
        <v>227</v>
      </c>
      <c r="W37" s="70" t="s">
        <v>227</v>
      </c>
      <c r="X37" s="70" t="s">
        <v>227</v>
      </c>
      <c r="Y37" s="69" t="s">
        <v>228</v>
      </c>
    </row>
    <row r="38" spans="1:25" ht="15" customHeight="1" x14ac:dyDescent="0.35">
      <c r="A38" s="168"/>
      <c r="B38" s="170"/>
      <c r="C38" s="173"/>
      <c r="D38" s="47"/>
      <c r="E38" s="47"/>
      <c r="F38" s="1"/>
      <c r="G38" s="1"/>
      <c r="H38" s="1"/>
      <c r="I38" s="13">
        <f t="shared" si="5"/>
        <v>0</v>
      </c>
      <c r="J38" s="14" t="e">
        <f t="shared" si="6"/>
        <v>#N/A</v>
      </c>
      <c r="K38" s="175" t="s">
        <v>205</v>
      </c>
      <c r="L38" s="70"/>
      <c r="M38" s="70"/>
      <c r="N38" s="179" t="e">
        <f>AVERAGE(M38,M39,M40)</f>
        <v>#DIV/0!</v>
      </c>
      <c r="O38" s="70"/>
      <c r="P38" s="70"/>
      <c r="Q38" s="179" t="e">
        <f>AVERAGE(P38,P39,P40)</f>
        <v>#DIV/0!</v>
      </c>
      <c r="R38" s="70"/>
      <c r="S38" s="70"/>
      <c r="T38" s="179" t="e">
        <f>AVERAGE(S38,S39,S40)</f>
        <v>#DIV/0!</v>
      </c>
      <c r="U38" s="166" t="e">
        <f>FLOOR(AVERAGE(N38*1,Q38*0.75,T38*0.5),1)</f>
        <v>#DIV/0!</v>
      </c>
      <c r="V38" s="166" t="e">
        <f>J38</f>
        <v>#N/A</v>
      </c>
      <c r="W38" s="164" t="e">
        <f>V38-U38</f>
        <v>#N/A</v>
      </c>
      <c r="X38" s="165" t="s">
        <v>226</v>
      </c>
      <c r="Y38" s="166" t="s">
        <v>227</v>
      </c>
    </row>
    <row r="39" spans="1:25" ht="18.75" customHeight="1" x14ac:dyDescent="0.35">
      <c r="A39" s="168"/>
      <c r="B39" s="170"/>
      <c r="C39" s="173"/>
      <c r="D39" s="47"/>
      <c r="E39" s="47"/>
      <c r="F39" s="1"/>
      <c r="G39" s="1"/>
      <c r="H39" s="1"/>
      <c r="I39" s="13">
        <f t="shared" si="5"/>
        <v>0</v>
      </c>
      <c r="J39" s="14" t="e">
        <f t="shared" si="6"/>
        <v>#N/A</v>
      </c>
      <c r="K39" s="176"/>
      <c r="L39" s="66"/>
      <c r="M39" s="67"/>
      <c r="N39" s="179"/>
      <c r="O39" s="66"/>
      <c r="P39" s="67"/>
      <c r="Q39" s="179"/>
      <c r="R39" s="66"/>
      <c r="S39" s="68"/>
      <c r="T39" s="179"/>
      <c r="U39" s="166"/>
      <c r="V39" s="166"/>
      <c r="W39" s="164"/>
      <c r="X39" s="165"/>
      <c r="Y39" s="166"/>
    </row>
    <row r="40" spans="1:25" ht="14.25" customHeight="1" x14ac:dyDescent="0.35">
      <c r="A40" s="168"/>
      <c r="B40" s="171"/>
      <c r="C40" s="174"/>
      <c r="D40" s="47"/>
      <c r="E40" s="47"/>
      <c r="F40" s="1"/>
      <c r="G40" s="1"/>
      <c r="H40" s="1"/>
      <c r="I40" s="13">
        <f t="shared" si="5"/>
        <v>0</v>
      </c>
      <c r="J40" s="14" t="e">
        <f t="shared" si="6"/>
        <v>#N/A</v>
      </c>
      <c r="K40" s="176"/>
      <c r="L40" s="66"/>
      <c r="M40" s="67"/>
      <c r="N40" s="179"/>
      <c r="O40" s="66"/>
      <c r="P40" s="67"/>
      <c r="Q40" s="179"/>
      <c r="R40" s="66"/>
      <c r="S40" s="68"/>
      <c r="T40" s="179"/>
      <c r="U40" s="166"/>
      <c r="V40" s="166"/>
      <c r="W40" s="164"/>
      <c r="X40" s="165"/>
      <c r="Y40" s="166"/>
    </row>
    <row r="41" spans="1:25" ht="24" customHeight="1" x14ac:dyDescent="0.35">
      <c r="A41" s="167">
        <v>6</v>
      </c>
      <c r="B41" s="169" t="str">
        <f>'Asset Inventory'!B12</f>
        <v>Asset Class Name6
Description:-
Examples:-</v>
      </c>
      <c r="C41" s="172" t="e">
        <f>'Asset Inventory'!I12</f>
        <v>#N/A</v>
      </c>
      <c r="D41" s="47"/>
      <c r="E41" s="42"/>
      <c r="F41" s="1"/>
      <c r="G41" s="1"/>
      <c r="H41" s="1"/>
      <c r="I41" s="13">
        <f>G41*H41</f>
        <v>0</v>
      </c>
      <c r="J41" s="14" t="e">
        <f t="shared" si="6"/>
        <v>#N/A</v>
      </c>
      <c r="K41" s="175" t="s">
        <v>205</v>
      </c>
      <c r="L41" s="66"/>
      <c r="M41" s="67"/>
      <c r="N41" s="179" t="e">
        <f>AVERAGE(M41,M42,M43)</f>
        <v>#DIV/0!</v>
      </c>
      <c r="O41" s="66"/>
      <c r="P41" s="67"/>
      <c r="Q41" s="179" t="e">
        <f>AVERAGE(P41,P42,P43)</f>
        <v>#DIV/0!</v>
      </c>
      <c r="R41" s="66"/>
      <c r="S41" s="68"/>
      <c r="T41" s="179" t="e">
        <f>AVERAGE(S41,S42,S43)</f>
        <v>#DIV/0!</v>
      </c>
      <c r="U41" s="166" t="e">
        <f>FLOOR(AVERAGE(N41*1,Q41*0.75,T41*0.5),1)</f>
        <v>#DIV/0!</v>
      </c>
      <c r="V41" s="166" t="e">
        <f>J41</f>
        <v>#N/A</v>
      </c>
      <c r="W41" s="164" t="e">
        <f>V41-U41</f>
        <v>#N/A</v>
      </c>
      <c r="X41" s="165" t="s">
        <v>226</v>
      </c>
      <c r="Y41" s="166" t="s">
        <v>227</v>
      </c>
    </row>
    <row r="42" spans="1:25" ht="21" customHeight="1" x14ac:dyDescent="0.35">
      <c r="A42" s="168"/>
      <c r="B42" s="170"/>
      <c r="C42" s="173"/>
      <c r="D42" s="47"/>
      <c r="E42" s="8"/>
      <c r="F42" s="1"/>
      <c r="G42" s="1"/>
      <c r="H42" s="1"/>
      <c r="I42" s="13">
        <f>G42*H42</f>
        <v>0</v>
      </c>
      <c r="J42" s="14" t="e">
        <f t="shared" si="6"/>
        <v>#N/A</v>
      </c>
      <c r="K42" s="176"/>
      <c r="L42" s="66"/>
      <c r="M42" s="67"/>
      <c r="N42" s="179"/>
      <c r="O42" s="66"/>
      <c r="P42" s="67"/>
      <c r="Q42" s="179"/>
      <c r="R42" s="66"/>
      <c r="S42" s="68"/>
      <c r="T42" s="179"/>
      <c r="U42" s="166"/>
      <c r="V42" s="166"/>
      <c r="W42" s="164"/>
      <c r="X42" s="165"/>
      <c r="Y42" s="166"/>
    </row>
    <row r="43" spans="1:25" ht="19.5" customHeight="1" x14ac:dyDescent="0.35">
      <c r="A43" s="168"/>
      <c r="B43" s="170"/>
      <c r="C43" s="173"/>
      <c r="D43" s="47"/>
      <c r="E43" s="42"/>
      <c r="F43" s="1"/>
      <c r="G43" s="1"/>
      <c r="H43" s="1"/>
      <c r="I43" s="13">
        <f t="shared" ref="I43:I48" si="7">G43*H43</f>
        <v>0</v>
      </c>
      <c r="J43" s="14" t="e">
        <f t="shared" si="6"/>
        <v>#N/A</v>
      </c>
      <c r="K43" s="176"/>
      <c r="L43" s="66"/>
      <c r="M43" s="67"/>
      <c r="N43" s="179"/>
      <c r="O43" s="66"/>
      <c r="P43" s="67"/>
      <c r="Q43" s="179"/>
      <c r="R43" s="66"/>
      <c r="S43" s="68"/>
      <c r="T43" s="179"/>
      <c r="U43" s="166"/>
      <c r="V43" s="166"/>
      <c r="W43" s="164"/>
      <c r="X43" s="165"/>
      <c r="Y43" s="166"/>
    </row>
    <row r="44" spans="1:25" ht="13.5" customHeight="1" x14ac:dyDescent="0.35">
      <c r="A44" s="168"/>
      <c r="B44" s="170"/>
      <c r="C44" s="173"/>
      <c r="D44" s="47"/>
      <c r="E44" s="8"/>
      <c r="F44" s="1"/>
      <c r="G44" s="1"/>
      <c r="H44" s="1"/>
      <c r="I44" s="13">
        <f t="shared" si="7"/>
        <v>0</v>
      </c>
      <c r="J44" s="14" t="e">
        <f t="shared" si="6"/>
        <v>#N/A</v>
      </c>
      <c r="K44" s="74" t="s">
        <v>226</v>
      </c>
      <c r="L44" s="70" t="s">
        <v>227</v>
      </c>
      <c r="M44" s="70" t="s">
        <v>227</v>
      </c>
      <c r="N44" s="70" t="s">
        <v>227</v>
      </c>
      <c r="O44" s="70" t="s">
        <v>227</v>
      </c>
      <c r="P44" s="70" t="s">
        <v>227</v>
      </c>
      <c r="Q44" s="70" t="s">
        <v>227</v>
      </c>
      <c r="R44" s="70" t="s">
        <v>227</v>
      </c>
      <c r="S44" s="70" t="s">
        <v>227</v>
      </c>
      <c r="T44" s="70" t="s">
        <v>227</v>
      </c>
      <c r="U44" s="70" t="s">
        <v>227</v>
      </c>
      <c r="V44" s="70" t="s">
        <v>227</v>
      </c>
      <c r="W44" s="70" t="s">
        <v>227</v>
      </c>
      <c r="X44" s="70" t="s">
        <v>227</v>
      </c>
      <c r="Y44" s="69" t="s">
        <v>228</v>
      </c>
    </row>
    <row r="45" spans="1:25" ht="15" customHeight="1" x14ac:dyDescent="0.35">
      <c r="A45" s="168"/>
      <c r="B45" s="170"/>
      <c r="C45" s="173"/>
      <c r="D45" s="47"/>
      <c r="E45" s="47"/>
      <c r="F45" s="1"/>
      <c r="G45" s="1"/>
      <c r="H45" s="1"/>
      <c r="I45" s="13">
        <f t="shared" si="7"/>
        <v>0</v>
      </c>
      <c r="J45" s="14" t="e">
        <f t="shared" si="6"/>
        <v>#N/A</v>
      </c>
      <c r="K45" s="74" t="s">
        <v>226</v>
      </c>
      <c r="L45" s="70" t="s">
        <v>227</v>
      </c>
      <c r="M45" s="70" t="s">
        <v>227</v>
      </c>
      <c r="N45" s="70" t="s">
        <v>227</v>
      </c>
      <c r="O45" s="70" t="s">
        <v>227</v>
      </c>
      <c r="P45" s="70" t="s">
        <v>227</v>
      </c>
      <c r="Q45" s="70" t="s">
        <v>227</v>
      </c>
      <c r="R45" s="70" t="s">
        <v>227</v>
      </c>
      <c r="S45" s="70" t="s">
        <v>227</v>
      </c>
      <c r="T45" s="70" t="s">
        <v>227</v>
      </c>
      <c r="U45" s="70" t="s">
        <v>227</v>
      </c>
      <c r="V45" s="70" t="s">
        <v>227</v>
      </c>
      <c r="W45" s="70" t="s">
        <v>227</v>
      </c>
      <c r="X45" s="70" t="s">
        <v>227</v>
      </c>
      <c r="Y45" s="69" t="s">
        <v>228</v>
      </c>
    </row>
    <row r="46" spans="1:25" ht="15" customHeight="1" x14ac:dyDescent="0.35">
      <c r="A46" s="168"/>
      <c r="B46" s="170"/>
      <c r="C46" s="173"/>
      <c r="D46" s="47"/>
      <c r="E46" s="47"/>
      <c r="F46" s="1"/>
      <c r="G46" s="1"/>
      <c r="H46" s="1"/>
      <c r="I46" s="13">
        <f t="shared" si="7"/>
        <v>0</v>
      </c>
      <c r="J46" s="14" t="e">
        <f t="shared" si="6"/>
        <v>#N/A</v>
      </c>
      <c r="K46" s="175" t="s">
        <v>205</v>
      </c>
      <c r="L46" s="70"/>
      <c r="M46" s="70"/>
      <c r="N46" s="179" t="e">
        <f>AVERAGE(M46,M47,M48)</f>
        <v>#DIV/0!</v>
      </c>
      <c r="O46" s="70"/>
      <c r="P46" s="70"/>
      <c r="Q46" s="179" t="e">
        <f>AVERAGE(P46,P47,P48)</f>
        <v>#DIV/0!</v>
      </c>
      <c r="R46" s="70"/>
      <c r="S46" s="70"/>
      <c r="T46" s="179" t="e">
        <f>AVERAGE(S46,S47,S48)</f>
        <v>#DIV/0!</v>
      </c>
      <c r="U46" s="166" t="e">
        <f>FLOOR(AVERAGE(N46*1,Q46*0.75,T46*0.5),1)</f>
        <v>#DIV/0!</v>
      </c>
      <c r="V46" s="166" t="e">
        <f>J46</f>
        <v>#N/A</v>
      </c>
      <c r="W46" s="164" t="e">
        <f>V46-U46</f>
        <v>#N/A</v>
      </c>
      <c r="X46" s="165" t="s">
        <v>226</v>
      </c>
      <c r="Y46" s="166" t="s">
        <v>227</v>
      </c>
    </row>
    <row r="47" spans="1:25" ht="18.75" customHeight="1" x14ac:dyDescent="0.35">
      <c r="A47" s="168"/>
      <c r="B47" s="170"/>
      <c r="C47" s="173"/>
      <c r="D47" s="47"/>
      <c r="E47" s="47"/>
      <c r="F47" s="1"/>
      <c r="G47" s="1"/>
      <c r="H47" s="1"/>
      <c r="I47" s="13">
        <f t="shared" si="7"/>
        <v>0</v>
      </c>
      <c r="J47" s="14" t="e">
        <f t="shared" si="6"/>
        <v>#N/A</v>
      </c>
      <c r="K47" s="176"/>
      <c r="L47" s="66"/>
      <c r="M47" s="67"/>
      <c r="N47" s="179"/>
      <c r="O47" s="66"/>
      <c r="P47" s="67"/>
      <c r="Q47" s="179"/>
      <c r="R47" s="66"/>
      <c r="S47" s="68"/>
      <c r="T47" s="179"/>
      <c r="U47" s="166"/>
      <c r="V47" s="166"/>
      <c r="W47" s="164"/>
      <c r="X47" s="165"/>
      <c r="Y47" s="166"/>
    </row>
    <row r="48" spans="1:25" ht="14.25" customHeight="1" x14ac:dyDescent="0.35">
      <c r="A48" s="168"/>
      <c r="B48" s="171"/>
      <c r="C48" s="174"/>
      <c r="D48" s="47"/>
      <c r="E48" s="47"/>
      <c r="F48" s="1"/>
      <c r="G48" s="1"/>
      <c r="H48" s="1"/>
      <c r="I48" s="13">
        <f t="shared" si="7"/>
        <v>0</v>
      </c>
      <c r="J48" s="14" t="e">
        <f t="shared" si="6"/>
        <v>#N/A</v>
      </c>
      <c r="K48" s="176"/>
      <c r="L48" s="66"/>
      <c r="M48" s="67"/>
      <c r="N48" s="179"/>
      <c r="O48" s="66"/>
      <c r="P48" s="67"/>
      <c r="Q48" s="179"/>
      <c r="R48" s="66"/>
      <c r="S48" s="68"/>
      <c r="T48" s="179"/>
      <c r="U48" s="166"/>
      <c r="V48" s="166"/>
      <c r="W48" s="164"/>
      <c r="X48" s="165"/>
      <c r="Y48" s="166"/>
    </row>
    <row r="49" spans="1:25" ht="24" customHeight="1" x14ac:dyDescent="0.35">
      <c r="A49" s="167">
        <v>7</v>
      </c>
      <c r="B49" s="169" t="str">
        <f>'Asset Inventory'!B13</f>
        <v>Asset Class Name7
Description:-
Examples:-</v>
      </c>
      <c r="C49" s="172" t="e">
        <f>'Asset Inventory'!I13</f>
        <v>#N/A</v>
      </c>
      <c r="D49" s="47"/>
      <c r="E49" s="42"/>
      <c r="F49" s="1"/>
      <c r="G49" s="1"/>
      <c r="H49" s="1"/>
      <c r="I49" s="13">
        <f>G49*H49</f>
        <v>0</v>
      </c>
      <c r="J49" s="14" t="e">
        <f t="shared" si="6"/>
        <v>#N/A</v>
      </c>
      <c r="K49" s="175" t="s">
        <v>205</v>
      </c>
      <c r="L49" s="66"/>
      <c r="M49" s="67"/>
      <c r="N49" s="179" t="e">
        <f>AVERAGE(M49,M50,M51)</f>
        <v>#DIV/0!</v>
      </c>
      <c r="O49" s="66"/>
      <c r="P49" s="67"/>
      <c r="Q49" s="179" t="e">
        <f>AVERAGE(P49,P50,P51)</f>
        <v>#DIV/0!</v>
      </c>
      <c r="R49" s="66"/>
      <c r="S49" s="68"/>
      <c r="T49" s="179" t="e">
        <f>AVERAGE(S49,S50,S51)</f>
        <v>#DIV/0!</v>
      </c>
      <c r="U49" s="166" t="e">
        <f>FLOOR(AVERAGE(N49*1,Q49*0.75,T49*0.5),1)</f>
        <v>#DIV/0!</v>
      </c>
      <c r="V49" s="166" t="e">
        <f>J49</f>
        <v>#N/A</v>
      </c>
      <c r="W49" s="164" t="e">
        <f>V49-U49</f>
        <v>#N/A</v>
      </c>
      <c r="X49" s="165" t="s">
        <v>226</v>
      </c>
      <c r="Y49" s="166" t="s">
        <v>227</v>
      </c>
    </row>
    <row r="50" spans="1:25" ht="21" customHeight="1" x14ac:dyDescent="0.35">
      <c r="A50" s="168"/>
      <c r="B50" s="170"/>
      <c r="C50" s="173"/>
      <c r="D50" s="47"/>
      <c r="E50" s="8"/>
      <c r="F50" s="1"/>
      <c r="G50" s="1"/>
      <c r="H50" s="1"/>
      <c r="I50" s="13">
        <f>G50*H50</f>
        <v>0</v>
      </c>
      <c r="J50" s="14" t="e">
        <f t="shared" si="6"/>
        <v>#N/A</v>
      </c>
      <c r="K50" s="176"/>
      <c r="L50" s="66"/>
      <c r="M50" s="67"/>
      <c r="N50" s="179"/>
      <c r="O50" s="66"/>
      <c r="P50" s="67"/>
      <c r="Q50" s="179"/>
      <c r="R50" s="66"/>
      <c r="S50" s="68"/>
      <c r="T50" s="179"/>
      <c r="U50" s="166"/>
      <c r="V50" s="166"/>
      <c r="W50" s="164"/>
      <c r="X50" s="165"/>
      <c r="Y50" s="166"/>
    </row>
    <row r="51" spans="1:25" ht="19.5" customHeight="1" x14ac:dyDescent="0.35">
      <c r="A51" s="168"/>
      <c r="B51" s="170"/>
      <c r="C51" s="173"/>
      <c r="D51" s="47"/>
      <c r="E51" s="42"/>
      <c r="F51" s="1"/>
      <c r="G51" s="1"/>
      <c r="H51" s="1"/>
      <c r="I51" s="13">
        <f t="shared" ref="I51:I56" si="8">G51*H51</f>
        <v>0</v>
      </c>
      <c r="J51" s="14" t="e">
        <f t="shared" si="6"/>
        <v>#N/A</v>
      </c>
      <c r="K51" s="176"/>
      <c r="L51" s="66"/>
      <c r="M51" s="67"/>
      <c r="N51" s="179"/>
      <c r="O51" s="66"/>
      <c r="P51" s="67"/>
      <c r="Q51" s="179"/>
      <c r="R51" s="66"/>
      <c r="S51" s="68"/>
      <c r="T51" s="179"/>
      <c r="U51" s="166"/>
      <c r="V51" s="166"/>
      <c r="W51" s="164"/>
      <c r="X51" s="165"/>
      <c r="Y51" s="166"/>
    </row>
    <row r="52" spans="1:25" ht="13.5" customHeight="1" x14ac:dyDescent="0.35">
      <c r="A52" s="168"/>
      <c r="B52" s="170"/>
      <c r="C52" s="173"/>
      <c r="D52" s="47"/>
      <c r="E52" s="8"/>
      <c r="F52" s="1"/>
      <c r="G52" s="1"/>
      <c r="H52" s="1"/>
      <c r="I52" s="13">
        <f t="shared" si="8"/>
        <v>0</v>
      </c>
      <c r="J52" s="14" t="e">
        <f t="shared" si="6"/>
        <v>#N/A</v>
      </c>
      <c r="K52" s="74" t="s">
        <v>226</v>
      </c>
      <c r="L52" s="70" t="s">
        <v>227</v>
      </c>
      <c r="M52" s="70" t="s">
        <v>227</v>
      </c>
      <c r="N52" s="70" t="s">
        <v>227</v>
      </c>
      <c r="O52" s="70" t="s">
        <v>227</v>
      </c>
      <c r="P52" s="70" t="s">
        <v>227</v>
      </c>
      <c r="Q52" s="70" t="s">
        <v>227</v>
      </c>
      <c r="R52" s="70" t="s">
        <v>227</v>
      </c>
      <c r="S52" s="70" t="s">
        <v>227</v>
      </c>
      <c r="T52" s="70" t="s">
        <v>227</v>
      </c>
      <c r="U52" s="70" t="s">
        <v>227</v>
      </c>
      <c r="V52" s="70" t="s">
        <v>227</v>
      </c>
      <c r="W52" s="70" t="s">
        <v>227</v>
      </c>
      <c r="X52" s="70" t="s">
        <v>227</v>
      </c>
      <c r="Y52" s="69" t="s">
        <v>228</v>
      </c>
    </row>
    <row r="53" spans="1:25" ht="15" customHeight="1" x14ac:dyDescent="0.35">
      <c r="A53" s="168"/>
      <c r="B53" s="170"/>
      <c r="C53" s="173"/>
      <c r="D53" s="47"/>
      <c r="E53" s="47"/>
      <c r="F53" s="1"/>
      <c r="G53" s="1"/>
      <c r="H53" s="1"/>
      <c r="I53" s="13">
        <f t="shared" si="8"/>
        <v>0</v>
      </c>
      <c r="J53" s="14" t="e">
        <f t="shared" si="6"/>
        <v>#N/A</v>
      </c>
      <c r="K53" s="74" t="s">
        <v>226</v>
      </c>
      <c r="L53" s="70" t="s">
        <v>227</v>
      </c>
      <c r="M53" s="70" t="s">
        <v>227</v>
      </c>
      <c r="N53" s="70" t="s">
        <v>227</v>
      </c>
      <c r="O53" s="70" t="s">
        <v>227</v>
      </c>
      <c r="P53" s="70" t="s">
        <v>227</v>
      </c>
      <c r="Q53" s="70" t="s">
        <v>227</v>
      </c>
      <c r="R53" s="70" t="s">
        <v>227</v>
      </c>
      <c r="S53" s="70" t="s">
        <v>227</v>
      </c>
      <c r="T53" s="70" t="s">
        <v>227</v>
      </c>
      <c r="U53" s="70" t="s">
        <v>227</v>
      </c>
      <c r="V53" s="70" t="s">
        <v>227</v>
      </c>
      <c r="W53" s="70" t="s">
        <v>227</v>
      </c>
      <c r="X53" s="70" t="s">
        <v>227</v>
      </c>
      <c r="Y53" s="69" t="s">
        <v>228</v>
      </c>
    </row>
    <row r="54" spans="1:25" ht="15" customHeight="1" x14ac:dyDescent="0.35">
      <c r="A54" s="168"/>
      <c r="B54" s="170"/>
      <c r="C54" s="173"/>
      <c r="D54" s="47"/>
      <c r="E54" s="47"/>
      <c r="F54" s="1"/>
      <c r="G54" s="1"/>
      <c r="H54" s="1"/>
      <c r="I54" s="13">
        <f t="shared" si="8"/>
        <v>0</v>
      </c>
      <c r="J54" s="14" t="e">
        <f t="shared" si="6"/>
        <v>#N/A</v>
      </c>
      <c r="K54" s="175" t="s">
        <v>205</v>
      </c>
      <c r="L54" s="70"/>
      <c r="M54" s="70"/>
      <c r="N54" s="179" t="e">
        <f>AVERAGE(M54,M55,M56)</f>
        <v>#DIV/0!</v>
      </c>
      <c r="O54" s="70"/>
      <c r="P54" s="70"/>
      <c r="Q54" s="179" t="e">
        <f>AVERAGE(P54,P55,P56)</f>
        <v>#DIV/0!</v>
      </c>
      <c r="R54" s="70"/>
      <c r="S54" s="70"/>
      <c r="T54" s="179" t="e">
        <f>AVERAGE(S54,S55,S56)</f>
        <v>#DIV/0!</v>
      </c>
      <c r="U54" s="166" t="e">
        <f>FLOOR(AVERAGE(N54*1,Q54*0.75,T54*0.5),1)</f>
        <v>#DIV/0!</v>
      </c>
      <c r="V54" s="166" t="e">
        <f>J54</f>
        <v>#N/A</v>
      </c>
      <c r="W54" s="164" t="e">
        <f>V54-U54</f>
        <v>#N/A</v>
      </c>
      <c r="X54" s="165" t="s">
        <v>226</v>
      </c>
      <c r="Y54" s="166" t="s">
        <v>227</v>
      </c>
    </row>
    <row r="55" spans="1:25" ht="18.75" customHeight="1" x14ac:dyDescent="0.35">
      <c r="A55" s="168"/>
      <c r="B55" s="170"/>
      <c r="C55" s="173"/>
      <c r="D55" s="47"/>
      <c r="E55" s="47"/>
      <c r="F55" s="1"/>
      <c r="G55" s="1"/>
      <c r="H55" s="1"/>
      <c r="I55" s="13">
        <f t="shared" si="8"/>
        <v>0</v>
      </c>
      <c r="J55" s="14" t="e">
        <f t="shared" si="6"/>
        <v>#N/A</v>
      </c>
      <c r="K55" s="176"/>
      <c r="L55" s="66"/>
      <c r="M55" s="67"/>
      <c r="N55" s="179"/>
      <c r="O55" s="66"/>
      <c r="P55" s="67"/>
      <c r="Q55" s="179"/>
      <c r="R55" s="66"/>
      <c r="S55" s="68"/>
      <c r="T55" s="179"/>
      <c r="U55" s="166"/>
      <c r="V55" s="166"/>
      <c r="W55" s="164"/>
      <c r="X55" s="165"/>
      <c r="Y55" s="166"/>
    </row>
    <row r="56" spans="1:25" ht="14.25" customHeight="1" x14ac:dyDescent="0.35">
      <c r="A56" s="168"/>
      <c r="B56" s="171"/>
      <c r="C56" s="174"/>
      <c r="D56" s="47"/>
      <c r="E56" s="47"/>
      <c r="F56" s="1"/>
      <c r="G56" s="1"/>
      <c r="H56" s="1"/>
      <c r="I56" s="13">
        <f t="shared" si="8"/>
        <v>0</v>
      </c>
      <c r="J56" s="14" t="e">
        <f t="shared" si="6"/>
        <v>#N/A</v>
      </c>
      <c r="K56" s="176"/>
      <c r="L56" s="66"/>
      <c r="M56" s="67"/>
      <c r="N56" s="179"/>
      <c r="O56" s="66"/>
      <c r="P56" s="67"/>
      <c r="Q56" s="179"/>
      <c r="R56" s="66"/>
      <c r="S56" s="68"/>
      <c r="T56" s="179"/>
      <c r="U56" s="166"/>
      <c r="V56" s="166"/>
      <c r="W56" s="164"/>
      <c r="X56" s="165"/>
      <c r="Y56" s="166"/>
    </row>
    <row r="57" spans="1:25" x14ac:dyDescent="0.35">
      <c r="L57" s="71"/>
      <c r="M57" s="71"/>
      <c r="N57" s="71"/>
      <c r="O57" s="71"/>
      <c r="P57" s="71"/>
      <c r="Q57" s="72"/>
      <c r="R57" s="71"/>
      <c r="S57" s="71"/>
      <c r="T57" s="71"/>
      <c r="U57" s="73"/>
      <c r="V57" s="71"/>
      <c r="W57" s="71"/>
      <c r="X57" s="71"/>
      <c r="Y57" s="71"/>
    </row>
    <row r="58" spans="1:25" x14ac:dyDescent="0.35">
      <c r="L58" s="71"/>
      <c r="M58" s="71"/>
      <c r="N58" s="71"/>
      <c r="O58" s="71"/>
      <c r="P58" s="71"/>
      <c r="Q58" s="72"/>
      <c r="R58" s="71"/>
      <c r="S58" s="71"/>
      <c r="T58" s="71"/>
      <c r="U58" s="71"/>
      <c r="V58" s="71"/>
      <c r="W58" s="71"/>
      <c r="X58" s="71"/>
      <c r="Y58" s="71"/>
    </row>
    <row r="59" spans="1:25" x14ac:dyDescent="0.35">
      <c r="L59" s="71"/>
      <c r="M59" s="71"/>
      <c r="N59" s="71"/>
      <c r="O59" s="71"/>
      <c r="P59" s="71"/>
      <c r="Q59" s="72"/>
      <c r="R59" s="71"/>
      <c r="S59" s="71"/>
      <c r="T59" s="71"/>
      <c r="U59" s="71"/>
      <c r="V59" s="71"/>
      <c r="W59" s="71"/>
      <c r="X59" s="71"/>
      <c r="Y59" s="71"/>
    </row>
    <row r="60" spans="1:25" x14ac:dyDescent="0.35">
      <c r="L60" s="71"/>
      <c r="M60" s="71"/>
      <c r="N60" s="71"/>
      <c r="O60" s="71"/>
      <c r="P60" s="71"/>
      <c r="Q60" s="71"/>
      <c r="R60" s="71"/>
      <c r="S60" s="71"/>
      <c r="T60" s="71"/>
      <c r="U60" s="71"/>
      <c r="V60" s="71"/>
      <c r="W60" s="71"/>
      <c r="X60" s="71"/>
      <c r="Y60" s="71"/>
    </row>
    <row r="61" spans="1:25" x14ac:dyDescent="0.35">
      <c r="L61" s="71"/>
      <c r="M61" s="71"/>
      <c r="N61" s="71"/>
      <c r="O61" s="71"/>
      <c r="P61" s="71"/>
      <c r="Q61" s="71"/>
      <c r="R61" s="71"/>
      <c r="S61" s="71"/>
      <c r="T61" s="71"/>
      <c r="U61" s="71"/>
      <c r="V61" s="71"/>
      <c r="W61" s="71"/>
      <c r="X61" s="71"/>
      <c r="Y61" s="71"/>
    </row>
    <row r="62" spans="1:25" x14ac:dyDescent="0.35">
      <c r="L62" s="71"/>
      <c r="M62" s="71"/>
      <c r="N62" s="71"/>
      <c r="O62" s="71"/>
      <c r="P62" s="71"/>
      <c r="Q62" s="71"/>
      <c r="R62" s="71"/>
      <c r="S62" s="71"/>
      <c r="T62" s="71"/>
      <c r="U62" s="71"/>
      <c r="V62" s="71"/>
      <c r="W62" s="71"/>
      <c r="X62" s="71"/>
      <c r="Y62" s="71"/>
    </row>
    <row r="63" spans="1:25" x14ac:dyDescent="0.35">
      <c r="L63" s="71"/>
      <c r="M63" s="71"/>
      <c r="N63" s="71"/>
      <c r="O63" s="71"/>
      <c r="P63" s="71"/>
      <c r="Q63" s="71"/>
      <c r="R63" s="71"/>
      <c r="S63" s="71"/>
      <c r="T63" s="71"/>
      <c r="U63" s="71"/>
      <c r="V63" s="71"/>
      <c r="W63" s="71"/>
      <c r="X63" s="71"/>
      <c r="Y63" s="71"/>
    </row>
    <row r="64" spans="1:25" x14ac:dyDescent="0.35">
      <c r="L64" s="71"/>
      <c r="M64" s="71"/>
      <c r="N64" s="71"/>
      <c r="O64" s="71"/>
      <c r="P64" s="71"/>
      <c r="Q64" s="71"/>
      <c r="R64" s="71"/>
      <c r="S64" s="71"/>
      <c r="T64" s="71"/>
      <c r="U64" s="71"/>
      <c r="V64" s="71"/>
      <c r="W64" s="71"/>
      <c r="X64" s="71"/>
      <c r="Y64" s="71"/>
    </row>
    <row r="65" spans="12:25" x14ac:dyDescent="0.35">
      <c r="L65" s="71"/>
      <c r="M65" s="71"/>
      <c r="N65" s="71"/>
      <c r="O65" s="71"/>
      <c r="P65" s="71"/>
      <c r="Q65" s="71"/>
      <c r="R65" s="71"/>
      <c r="S65" s="71"/>
      <c r="T65" s="71"/>
      <c r="U65" s="71"/>
      <c r="V65" s="71"/>
      <c r="W65" s="71"/>
      <c r="X65" s="71"/>
      <c r="Y65" s="71"/>
    </row>
    <row r="66" spans="12:25" x14ac:dyDescent="0.35">
      <c r="L66" s="71"/>
      <c r="M66" s="71"/>
      <c r="N66" s="71"/>
      <c r="O66" s="71"/>
      <c r="P66" s="71"/>
      <c r="Q66" s="71"/>
      <c r="R66" s="71"/>
      <c r="S66" s="71"/>
      <c r="T66" s="71"/>
      <c r="U66" s="71"/>
      <c r="V66" s="71"/>
      <c r="W66" s="71"/>
      <c r="X66" s="71"/>
      <c r="Y66" s="71"/>
    </row>
    <row r="67" spans="12:25" x14ac:dyDescent="0.35">
      <c r="L67" s="71"/>
      <c r="M67" s="71"/>
      <c r="N67" s="71"/>
      <c r="O67" s="71"/>
      <c r="P67" s="71"/>
      <c r="Q67" s="71"/>
      <c r="R67" s="71"/>
      <c r="S67" s="71"/>
      <c r="T67" s="71"/>
      <c r="U67" s="71"/>
      <c r="V67" s="71"/>
      <c r="W67" s="71"/>
      <c r="X67" s="71"/>
      <c r="Y67" s="71"/>
    </row>
    <row r="68" spans="12:25" x14ac:dyDescent="0.35">
      <c r="L68" s="71"/>
      <c r="M68" s="71"/>
      <c r="N68" s="71"/>
      <c r="O68" s="71"/>
      <c r="P68" s="71"/>
      <c r="Q68" s="71"/>
      <c r="R68" s="71"/>
      <c r="S68" s="71"/>
      <c r="T68" s="71"/>
      <c r="U68" s="71"/>
      <c r="V68" s="71"/>
      <c r="W68" s="71"/>
      <c r="X68" s="71"/>
      <c r="Y68" s="71"/>
    </row>
    <row r="69" spans="12:25" x14ac:dyDescent="0.35">
      <c r="L69" s="71"/>
      <c r="M69" s="71"/>
      <c r="N69" s="71"/>
      <c r="O69" s="71"/>
      <c r="P69" s="71"/>
      <c r="Q69" s="71"/>
      <c r="R69" s="71"/>
      <c r="S69" s="71"/>
      <c r="T69" s="71"/>
      <c r="U69" s="71"/>
      <c r="V69" s="71"/>
      <c r="W69" s="71"/>
      <c r="X69" s="71"/>
      <c r="Y69" s="71"/>
    </row>
    <row r="100" spans="12:25" x14ac:dyDescent="0.35">
      <c r="L100" s="71"/>
      <c r="M100" s="71"/>
      <c r="N100" s="71"/>
      <c r="O100" s="71"/>
      <c r="P100" s="71"/>
      <c r="Q100" s="72"/>
      <c r="R100" s="71"/>
      <c r="S100" s="71"/>
      <c r="T100" s="71"/>
      <c r="U100" s="73"/>
      <c r="V100" s="71"/>
      <c r="W100" s="71"/>
      <c r="X100" s="71"/>
      <c r="Y100" s="71"/>
    </row>
    <row r="101" spans="12:25" x14ac:dyDescent="0.35">
      <c r="L101" s="71"/>
      <c r="M101" s="71"/>
      <c r="N101" s="71"/>
      <c r="O101" s="71"/>
      <c r="P101" s="71"/>
      <c r="Q101" s="72"/>
      <c r="R101" s="71"/>
      <c r="S101" s="71"/>
      <c r="T101" s="71"/>
      <c r="U101" s="71"/>
      <c r="V101" s="71"/>
      <c r="W101" s="71"/>
      <c r="X101" s="71"/>
      <c r="Y101" s="71"/>
    </row>
    <row r="102" spans="12:25" x14ac:dyDescent="0.35">
      <c r="L102" s="71"/>
      <c r="M102" s="71"/>
      <c r="N102" s="71"/>
      <c r="O102" s="71"/>
      <c r="P102" s="71"/>
      <c r="Q102" s="72"/>
      <c r="R102" s="71"/>
      <c r="S102" s="71"/>
      <c r="T102" s="71"/>
      <c r="U102" s="71"/>
      <c r="V102" s="71"/>
      <c r="W102" s="71"/>
      <c r="X102" s="71"/>
      <c r="Y102" s="71"/>
    </row>
    <row r="103" spans="12:25" x14ac:dyDescent="0.35">
      <c r="L103" s="71"/>
      <c r="M103" s="71"/>
      <c r="N103" s="71"/>
      <c r="O103" s="71"/>
      <c r="P103" s="71"/>
      <c r="Q103" s="71"/>
      <c r="R103" s="71"/>
      <c r="S103" s="71"/>
      <c r="T103" s="71"/>
      <c r="U103" s="71"/>
      <c r="V103" s="71"/>
      <c r="W103" s="71"/>
      <c r="X103" s="71"/>
      <c r="Y103" s="71"/>
    </row>
    <row r="104" spans="12:25" x14ac:dyDescent="0.35">
      <c r="L104" s="71"/>
      <c r="M104" s="71"/>
      <c r="N104" s="71"/>
      <c r="O104" s="71"/>
      <c r="P104" s="71"/>
      <c r="Q104" s="71"/>
      <c r="R104" s="71"/>
      <c r="S104" s="71"/>
      <c r="T104" s="71"/>
      <c r="U104" s="71"/>
      <c r="V104" s="71"/>
      <c r="W104" s="71"/>
      <c r="X104" s="71"/>
      <c r="Y104" s="71"/>
    </row>
    <row r="105" spans="12:25" x14ac:dyDescent="0.35">
      <c r="L105" s="71"/>
      <c r="M105" s="71"/>
      <c r="N105" s="71"/>
      <c r="O105" s="71"/>
      <c r="P105" s="71"/>
      <c r="Q105" s="71"/>
      <c r="R105" s="71"/>
      <c r="S105" s="71"/>
      <c r="T105" s="71"/>
      <c r="U105" s="71"/>
      <c r="V105" s="71"/>
      <c r="W105" s="71"/>
      <c r="X105" s="71"/>
      <c r="Y105" s="71"/>
    </row>
    <row r="106" spans="12:25" x14ac:dyDescent="0.35">
      <c r="L106" s="71"/>
      <c r="M106" s="71"/>
      <c r="N106" s="71"/>
      <c r="O106" s="71"/>
      <c r="P106" s="71"/>
      <c r="Q106" s="71"/>
      <c r="R106" s="71"/>
      <c r="S106" s="71"/>
      <c r="T106" s="71"/>
      <c r="U106" s="71"/>
      <c r="V106" s="71"/>
      <c r="W106" s="71"/>
      <c r="X106" s="71"/>
      <c r="Y106" s="71"/>
    </row>
    <row r="107" spans="12:25" x14ac:dyDescent="0.35">
      <c r="L107" s="71"/>
      <c r="M107" s="71"/>
      <c r="N107" s="71"/>
      <c r="O107" s="71"/>
      <c r="P107" s="71"/>
      <c r="Q107" s="71"/>
      <c r="R107" s="71"/>
      <c r="S107" s="71"/>
      <c r="T107" s="71"/>
      <c r="U107" s="71"/>
      <c r="V107" s="71"/>
      <c r="W107" s="71"/>
      <c r="X107" s="71"/>
      <c r="Y107" s="71"/>
    </row>
    <row r="108" spans="12:25" x14ac:dyDescent="0.35">
      <c r="L108" s="71"/>
      <c r="M108" s="71"/>
      <c r="N108" s="71"/>
      <c r="O108" s="71"/>
      <c r="P108" s="71"/>
      <c r="Q108" s="71"/>
      <c r="R108" s="71"/>
      <c r="S108" s="71"/>
      <c r="T108" s="71"/>
      <c r="U108" s="71"/>
      <c r="V108" s="71"/>
      <c r="W108" s="71"/>
      <c r="X108" s="71"/>
      <c r="Y108" s="71"/>
    </row>
    <row r="109" spans="12:25" x14ac:dyDescent="0.35">
      <c r="L109" s="71"/>
      <c r="M109" s="71"/>
      <c r="N109" s="71"/>
      <c r="O109" s="71"/>
      <c r="P109" s="71"/>
      <c r="Q109" s="71"/>
      <c r="R109" s="71"/>
      <c r="S109" s="71"/>
      <c r="T109" s="71"/>
      <c r="U109" s="71"/>
      <c r="V109" s="71"/>
      <c r="W109" s="71"/>
      <c r="X109" s="71"/>
      <c r="Y109" s="71"/>
    </row>
    <row r="110" spans="12:25" x14ac:dyDescent="0.35">
      <c r="L110" s="71"/>
      <c r="M110" s="71"/>
      <c r="N110" s="71"/>
      <c r="O110" s="71"/>
      <c r="P110" s="71"/>
      <c r="Q110" s="71"/>
      <c r="R110" s="71"/>
      <c r="S110" s="71"/>
      <c r="T110" s="71"/>
      <c r="U110" s="71"/>
      <c r="V110" s="71"/>
      <c r="W110" s="71"/>
      <c r="X110" s="71"/>
      <c r="Y110" s="71"/>
    </row>
    <row r="111" spans="12:25" x14ac:dyDescent="0.35">
      <c r="L111" s="71"/>
      <c r="M111" s="71"/>
      <c r="N111" s="71"/>
      <c r="O111" s="71"/>
      <c r="P111" s="71"/>
      <c r="Q111" s="71"/>
      <c r="R111" s="71"/>
      <c r="S111" s="71"/>
      <c r="T111" s="71"/>
      <c r="U111" s="71"/>
      <c r="V111" s="71"/>
      <c r="W111" s="71"/>
      <c r="X111" s="71"/>
      <c r="Y111" s="71"/>
    </row>
    <row r="112" spans="12:25" x14ac:dyDescent="0.35">
      <c r="L112" s="71"/>
      <c r="M112" s="71"/>
      <c r="N112" s="71"/>
      <c r="O112" s="71"/>
      <c r="P112" s="71"/>
      <c r="Q112" s="71"/>
      <c r="R112" s="71"/>
      <c r="S112" s="71"/>
      <c r="T112" s="71"/>
      <c r="U112" s="71"/>
      <c r="V112" s="71"/>
      <c r="W112" s="71"/>
      <c r="X112" s="71"/>
      <c r="Y112" s="71"/>
    </row>
    <row r="181" spans="25:25" x14ac:dyDescent="0.35">
      <c r="Y181" s="87"/>
    </row>
    <row r="182" spans="25:25" x14ac:dyDescent="0.35">
      <c r="Y182" s="88"/>
    </row>
    <row r="183" spans="25:25" x14ac:dyDescent="0.35">
      <c r="Y183" s="88"/>
    </row>
    <row r="184" spans="25:25" x14ac:dyDescent="0.35">
      <c r="Y184" s="88"/>
    </row>
    <row r="185" spans="25:25" x14ac:dyDescent="0.35">
      <c r="Y185" s="88"/>
    </row>
    <row r="186" spans="25:25" x14ac:dyDescent="0.35">
      <c r="Y186" s="88"/>
    </row>
    <row r="187" spans="25:25" x14ac:dyDescent="0.35">
      <c r="Y187" s="88"/>
    </row>
    <row r="188" spans="25:25" x14ac:dyDescent="0.35">
      <c r="Y188" s="88"/>
    </row>
    <row r="189" spans="25:25" x14ac:dyDescent="0.35">
      <c r="Y189" s="88"/>
    </row>
    <row r="190" spans="25:25" x14ac:dyDescent="0.35">
      <c r="Y190" s="88"/>
    </row>
    <row r="191" spans="25:25" x14ac:dyDescent="0.35">
      <c r="Y191" s="88"/>
    </row>
    <row r="192" spans="25:25" x14ac:dyDescent="0.35">
      <c r="Y192" s="88"/>
    </row>
    <row r="193" spans="25:25" x14ac:dyDescent="0.35">
      <c r="Y193" s="88"/>
    </row>
    <row r="194" spans="25:25" x14ac:dyDescent="0.35">
      <c r="Y194" s="88"/>
    </row>
    <row r="195" spans="25:25" x14ac:dyDescent="0.35">
      <c r="Y195" s="88"/>
    </row>
    <row r="196" spans="25:25" x14ac:dyDescent="0.35">
      <c r="Y196" s="88"/>
    </row>
    <row r="197" spans="25:25" x14ac:dyDescent="0.35">
      <c r="Y197" s="88"/>
    </row>
    <row r="198" spans="25:25" x14ac:dyDescent="0.35">
      <c r="Y198" s="88"/>
    </row>
    <row r="199" spans="25:25" x14ac:dyDescent="0.35">
      <c r="Y199" s="88"/>
    </row>
    <row r="200" spans="25:25" x14ac:dyDescent="0.35">
      <c r="Y200" s="88"/>
    </row>
    <row r="201" spans="25:25" x14ac:dyDescent="0.35">
      <c r="Y201" s="88"/>
    </row>
    <row r="202" spans="25:25" x14ac:dyDescent="0.35">
      <c r="Y202" s="88"/>
    </row>
    <row r="203" spans="25:25" x14ac:dyDescent="0.35">
      <c r="Y203" s="88"/>
    </row>
    <row r="204" spans="25:25" x14ac:dyDescent="0.35">
      <c r="Y204" s="88"/>
    </row>
    <row r="205" spans="25:25" x14ac:dyDescent="0.35">
      <c r="Y205" s="88"/>
    </row>
    <row r="206" spans="25:25" x14ac:dyDescent="0.35">
      <c r="Y206" s="88"/>
    </row>
    <row r="694" spans="26:29" ht="25" x14ac:dyDescent="0.35">
      <c r="Z694" s="63" t="s">
        <v>1</v>
      </c>
      <c r="AA694" s="63" t="s">
        <v>2</v>
      </c>
      <c r="AB694" s="63" t="s">
        <v>0</v>
      </c>
    </row>
    <row r="695" spans="26:29" x14ac:dyDescent="0.35">
      <c r="Z695" s="89">
        <v>1</v>
      </c>
      <c r="AA695" s="89">
        <v>1</v>
      </c>
      <c r="AB695" s="89">
        <f t="shared" ref="AB695:AB715" si="9">Z695*AA695</f>
        <v>1</v>
      </c>
      <c r="AC695" s="90">
        <v>1</v>
      </c>
    </row>
    <row r="696" spans="26:29" x14ac:dyDescent="0.35">
      <c r="Z696" s="89">
        <v>1</v>
      </c>
      <c r="AA696" s="89">
        <v>2</v>
      </c>
      <c r="AB696" s="89">
        <f t="shared" si="9"/>
        <v>2</v>
      </c>
      <c r="AC696" s="90">
        <v>1</v>
      </c>
    </row>
    <row r="697" spans="26:29" x14ac:dyDescent="0.35">
      <c r="Z697" s="89">
        <v>1</v>
      </c>
      <c r="AA697" s="89">
        <v>3</v>
      </c>
      <c r="AB697" s="89">
        <f t="shared" si="9"/>
        <v>3</v>
      </c>
      <c r="AC697" s="90">
        <v>1</v>
      </c>
    </row>
    <row r="698" spans="26:29" x14ac:dyDescent="0.35">
      <c r="Z698" s="89">
        <v>1</v>
      </c>
      <c r="AA698" s="89">
        <v>4</v>
      </c>
      <c r="AB698" s="89">
        <f t="shared" si="9"/>
        <v>4</v>
      </c>
      <c r="AC698" s="90">
        <v>1</v>
      </c>
    </row>
    <row r="699" spans="26:29" x14ac:dyDescent="0.35">
      <c r="Z699" s="89">
        <v>2</v>
      </c>
      <c r="AA699" s="89">
        <v>1</v>
      </c>
      <c r="AB699" s="89">
        <f t="shared" si="9"/>
        <v>2</v>
      </c>
      <c r="AC699" s="90">
        <v>1</v>
      </c>
    </row>
    <row r="700" spans="26:29" x14ac:dyDescent="0.35">
      <c r="Z700" s="89">
        <v>2</v>
      </c>
      <c r="AA700" s="89">
        <v>2</v>
      </c>
      <c r="AB700" s="89">
        <f t="shared" si="9"/>
        <v>4</v>
      </c>
      <c r="AC700" s="90">
        <v>1</v>
      </c>
    </row>
    <row r="701" spans="26:29" x14ac:dyDescent="0.35">
      <c r="Z701" s="89">
        <v>2</v>
      </c>
      <c r="AA701" s="89">
        <v>3</v>
      </c>
      <c r="AB701" s="89">
        <f t="shared" si="9"/>
        <v>6</v>
      </c>
      <c r="AC701" s="90">
        <v>2</v>
      </c>
    </row>
    <row r="702" spans="26:29" x14ac:dyDescent="0.35">
      <c r="Z702" s="89">
        <v>2</v>
      </c>
      <c r="AA702" s="89">
        <v>4</v>
      </c>
      <c r="AB702" s="89">
        <f t="shared" si="9"/>
        <v>8</v>
      </c>
      <c r="AC702" s="90">
        <v>2</v>
      </c>
    </row>
    <row r="703" spans="26:29" x14ac:dyDescent="0.35">
      <c r="Z703" s="89">
        <v>2</v>
      </c>
      <c r="AA703" s="89">
        <v>5</v>
      </c>
      <c r="AB703" s="89">
        <f t="shared" si="9"/>
        <v>10</v>
      </c>
      <c r="AC703" s="90">
        <v>2</v>
      </c>
    </row>
    <row r="704" spans="26:29" x14ac:dyDescent="0.35">
      <c r="Z704" s="89">
        <v>3</v>
      </c>
      <c r="AA704" s="89">
        <v>1</v>
      </c>
      <c r="AB704" s="89">
        <f t="shared" si="9"/>
        <v>3</v>
      </c>
      <c r="AC704" s="90">
        <v>1</v>
      </c>
    </row>
    <row r="705" spans="26:29" x14ac:dyDescent="0.35">
      <c r="Z705" s="89">
        <v>3</v>
      </c>
      <c r="AA705" s="89">
        <v>2</v>
      </c>
      <c r="AB705" s="89">
        <f t="shared" si="9"/>
        <v>6</v>
      </c>
      <c r="AC705" s="90">
        <v>2</v>
      </c>
    </row>
    <row r="706" spans="26:29" x14ac:dyDescent="0.35">
      <c r="Z706" s="89">
        <v>3</v>
      </c>
      <c r="AA706" s="89">
        <v>3</v>
      </c>
      <c r="AB706" s="89">
        <f t="shared" si="9"/>
        <v>9</v>
      </c>
      <c r="AC706" s="90">
        <v>2</v>
      </c>
    </row>
    <row r="707" spans="26:29" x14ac:dyDescent="0.35">
      <c r="Z707" s="89">
        <v>3</v>
      </c>
      <c r="AA707" s="89">
        <v>4</v>
      </c>
      <c r="AB707" s="89">
        <f t="shared" si="9"/>
        <v>12</v>
      </c>
      <c r="AC707" s="90">
        <v>3</v>
      </c>
    </row>
    <row r="708" spans="26:29" x14ac:dyDescent="0.35">
      <c r="Z708" s="89">
        <v>4</v>
      </c>
      <c r="AA708" s="89">
        <v>2</v>
      </c>
      <c r="AB708" s="89">
        <f t="shared" si="9"/>
        <v>8</v>
      </c>
      <c r="AC708" s="90">
        <v>2</v>
      </c>
    </row>
    <row r="709" spans="26:29" x14ac:dyDescent="0.35">
      <c r="Z709" s="89">
        <v>4</v>
      </c>
      <c r="AA709" s="89">
        <v>3</v>
      </c>
      <c r="AB709" s="89">
        <f t="shared" si="9"/>
        <v>12</v>
      </c>
      <c r="AC709" s="90">
        <v>3</v>
      </c>
    </row>
    <row r="710" spans="26:29" x14ac:dyDescent="0.35">
      <c r="Z710" s="89">
        <v>4</v>
      </c>
      <c r="AA710" s="89">
        <v>4</v>
      </c>
      <c r="AB710" s="89">
        <f t="shared" si="9"/>
        <v>16</v>
      </c>
      <c r="AC710" s="90">
        <v>4</v>
      </c>
    </row>
    <row r="711" spans="26:29" x14ac:dyDescent="0.35">
      <c r="Z711" s="89">
        <v>4</v>
      </c>
      <c r="AA711" s="89">
        <v>5</v>
      </c>
      <c r="AB711" s="89">
        <f t="shared" si="9"/>
        <v>20</v>
      </c>
      <c r="AC711" s="90">
        <v>4</v>
      </c>
    </row>
    <row r="712" spans="26:29" x14ac:dyDescent="0.35">
      <c r="Z712" s="89">
        <v>5</v>
      </c>
      <c r="AA712" s="89">
        <v>1</v>
      </c>
      <c r="AB712" s="89">
        <f t="shared" si="9"/>
        <v>5</v>
      </c>
      <c r="AC712" s="90">
        <v>1</v>
      </c>
    </row>
    <row r="713" spans="26:29" x14ac:dyDescent="0.35">
      <c r="Z713" s="89">
        <v>5</v>
      </c>
      <c r="AA713" s="89">
        <v>3</v>
      </c>
      <c r="AB713" s="89">
        <f t="shared" si="9"/>
        <v>15</v>
      </c>
      <c r="AC713" s="90">
        <v>3</v>
      </c>
    </row>
    <row r="714" spans="26:29" x14ac:dyDescent="0.35">
      <c r="Z714" s="89">
        <v>5</v>
      </c>
      <c r="AA714" s="89">
        <v>4</v>
      </c>
      <c r="AB714" s="89">
        <f t="shared" si="9"/>
        <v>20</v>
      </c>
      <c r="AC714" s="90">
        <v>4</v>
      </c>
    </row>
    <row r="715" spans="26:29" x14ac:dyDescent="0.35">
      <c r="Z715" s="89">
        <v>5</v>
      </c>
      <c r="AA715" s="89">
        <v>5</v>
      </c>
      <c r="AB715" s="89">
        <f t="shared" si="9"/>
        <v>25</v>
      </c>
      <c r="AC715" s="90">
        <v>5</v>
      </c>
    </row>
  </sheetData>
  <mergeCells count="150">
    <mergeCell ref="W49:W51"/>
    <mergeCell ref="X49:X51"/>
    <mergeCell ref="Y49:Y51"/>
    <mergeCell ref="K54:K56"/>
    <mergeCell ref="N54:N56"/>
    <mergeCell ref="Q54:Q56"/>
    <mergeCell ref="T54:T56"/>
    <mergeCell ref="U54:U56"/>
    <mergeCell ref="V54:V56"/>
    <mergeCell ref="W54:W56"/>
    <mergeCell ref="X54:X56"/>
    <mergeCell ref="Y54:Y56"/>
    <mergeCell ref="A49:A56"/>
    <mergeCell ref="B49:B56"/>
    <mergeCell ref="C49:C56"/>
    <mergeCell ref="K49:K51"/>
    <mergeCell ref="N49:N51"/>
    <mergeCell ref="Q49:Q51"/>
    <mergeCell ref="T49:T51"/>
    <mergeCell ref="U49:U51"/>
    <mergeCell ref="V49:V51"/>
    <mergeCell ref="W41:W43"/>
    <mergeCell ref="X41:X43"/>
    <mergeCell ref="Y41:Y43"/>
    <mergeCell ref="K46:K48"/>
    <mergeCell ref="N46:N48"/>
    <mergeCell ref="Q46:Q48"/>
    <mergeCell ref="T46:T48"/>
    <mergeCell ref="U46:U48"/>
    <mergeCell ref="V46:V48"/>
    <mergeCell ref="W46:W48"/>
    <mergeCell ref="X46:X48"/>
    <mergeCell ref="Y46:Y48"/>
    <mergeCell ref="A41:A48"/>
    <mergeCell ref="B41:B48"/>
    <mergeCell ref="C41:C48"/>
    <mergeCell ref="K41:K43"/>
    <mergeCell ref="N41:N43"/>
    <mergeCell ref="Q41:Q43"/>
    <mergeCell ref="T41:T43"/>
    <mergeCell ref="U41:U43"/>
    <mergeCell ref="V41:V43"/>
    <mergeCell ref="N33:N35"/>
    <mergeCell ref="Q33:Q35"/>
    <mergeCell ref="T33:T35"/>
    <mergeCell ref="U33:U35"/>
    <mergeCell ref="V33:V35"/>
    <mergeCell ref="W33:W35"/>
    <mergeCell ref="X33:X35"/>
    <mergeCell ref="Y33:Y35"/>
    <mergeCell ref="K38:K40"/>
    <mergeCell ref="N38:N40"/>
    <mergeCell ref="Q38:Q40"/>
    <mergeCell ref="T38:T40"/>
    <mergeCell ref="U38:U40"/>
    <mergeCell ref="V38:V40"/>
    <mergeCell ref="W38:W40"/>
    <mergeCell ref="X38:X40"/>
    <mergeCell ref="Y38:Y40"/>
    <mergeCell ref="Y25:Y27"/>
    <mergeCell ref="K30:K32"/>
    <mergeCell ref="N30:N32"/>
    <mergeCell ref="Q30:Q32"/>
    <mergeCell ref="T30:T32"/>
    <mergeCell ref="U30:U32"/>
    <mergeCell ref="V30:V32"/>
    <mergeCell ref="W30:W32"/>
    <mergeCell ref="X30:X32"/>
    <mergeCell ref="Y30:Y32"/>
    <mergeCell ref="V22:V24"/>
    <mergeCell ref="W22:W24"/>
    <mergeCell ref="X22:X24"/>
    <mergeCell ref="N22:N24"/>
    <mergeCell ref="N25:N27"/>
    <mergeCell ref="Q25:Q27"/>
    <mergeCell ref="T25:T27"/>
    <mergeCell ref="U25:U27"/>
    <mergeCell ref="V25:V27"/>
    <mergeCell ref="W25:W27"/>
    <mergeCell ref="X25:X27"/>
    <mergeCell ref="A10:A16"/>
    <mergeCell ref="B10:B16"/>
    <mergeCell ref="C10:C16"/>
    <mergeCell ref="A17:A24"/>
    <mergeCell ref="B17:B24"/>
    <mergeCell ref="C17:C24"/>
    <mergeCell ref="K3:K9"/>
    <mergeCell ref="K10:K16"/>
    <mergeCell ref="Y22:Y24"/>
    <mergeCell ref="N3:N9"/>
    <mergeCell ref="Q3:Q9"/>
    <mergeCell ref="T3:T9"/>
    <mergeCell ref="U3:U9"/>
    <mergeCell ref="V3:V9"/>
    <mergeCell ref="W3:W9"/>
    <mergeCell ref="U10:U16"/>
    <mergeCell ref="V10:V16"/>
    <mergeCell ref="W10:W16"/>
    <mergeCell ref="R10:R16"/>
    <mergeCell ref="S10:S16"/>
    <mergeCell ref="T10:T16"/>
    <mergeCell ref="Q22:Q24"/>
    <mergeCell ref="T22:T24"/>
    <mergeCell ref="U22:U24"/>
    <mergeCell ref="L1:T1"/>
    <mergeCell ref="N17:N19"/>
    <mergeCell ref="Q17:Q19"/>
    <mergeCell ref="T17:T19"/>
    <mergeCell ref="L10:L16"/>
    <mergeCell ref="M10:M16"/>
    <mergeCell ref="N10:N16"/>
    <mergeCell ref="O10:O16"/>
    <mergeCell ref="P10:P16"/>
    <mergeCell ref="Q10:Q16"/>
    <mergeCell ref="A25:A32"/>
    <mergeCell ref="B25:B32"/>
    <mergeCell ref="C25:C32"/>
    <mergeCell ref="K25:K27"/>
    <mergeCell ref="A33:A40"/>
    <mergeCell ref="B33:B40"/>
    <mergeCell ref="C33:C40"/>
    <mergeCell ref="K33:K35"/>
    <mergeCell ref="B1:B2"/>
    <mergeCell ref="C1:C2"/>
    <mergeCell ref="D1:D2"/>
    <mergeCell ref="E1:E2"/>
    <mergeCell ref="A3:A9"/>
    <mergeCell ref="B3:B9"/>
    <mergeCell ref="C3:C9"/>
    <mergeCell ref="A1:A2"/>
    <mergeCell ref="G1:G2"/>
    <mergeCell ref="K17:K19"/>
    <mergeCell ref="K22:K24"/>
    <mergeCell ref="K1:K2"/>
    <mergeCell ref="J1:J2"/>
    <mergeCell ref="I1:I2"/>
    <mergeCell ref="H1:H2"/>
    <mergeCell ref="F1:F2"/>
    <mergeCell ref="U1:W1"/>
    <mergeCell ref="X1:X2"/>
    <mergeCell ref="Y1:Y2"/>
    <mergeCell ref="X3:X9"/>
    <mergeCell ref="Y3:Y9"/>
    <mergeCell ref="X10:X16"/>
    <mergeCell ref="Y10:Y16"/>
    <mergeCell ref="W17:W19"/>
    <mergeCell ref="X17:X19"/>
    <mergeCell ref="Y17:Y19"/>
    <mergeCell ref="U17:U19"/>
    <mergeCell ref="V17:V19"/>
  </mergeCells>
  <conditionalFormatting sqref="C1:C3">
    <cfRule type="cellIs" dxfId="103" priority="515" operator="equal">
      <formula>"Very High"</formula>
    </cfRule>
    <cfRule type="cellIs" dxfId="102" priority="517" operator="equal">
      <formula>"Medium"</formula>
    </cfRule>
    <cfRule type="cellIs" dxfId="101" priority="516" operator="equal">
      <formula>"Low"</formula>
    </cfRule>
  </conditionalFormatting>
  <conditionalFormatting sqref="C3">
    <cfRule type="cellIs" dxfId="100" priority="514" operator="equal">
      <formula>"Very Low"</formula>
    </cfRule>
    <cfRule type="cellIs" dxfId="99" priority="513" operator="equal">
      <formula>"High"</formula>
    </cfRule>
  </conditionalFormatting>
  <conditionalFormatting sqref="C10">
    <cfRule type="cellIs" dxfId="98" priority="412" operator="equal">
      <formula>"Medium"</formula>
    </cfRule>
    <cfRule type="cellIs" dxfId="97" priority="411" operator="equal">
      <formula>"Low"</formula>
    </cfRule>
    <cfRule type="cellIs" dxfId="96" priority="410" operator="equal">
      <formula>"Very High"</formula>
    </cfRule>
    <cfRule type="cellIs" dxfId="95" priority="409" operator="equal">
      <formula>"Very Low"</formula>
    </cfRule>
    <cfRule type="cellIs" dxfId="94" priority="408" operator="equal">
      <formula>"High"</formula>
    </cfRule>
  </conditionalFormatting>
  <conditionalFormatting sqref="C17">
    <cfRule type="cellIs" dxfId="93" priority="397" operator="equal">
      <formula>"Medium"</formula>
    </cfRule>
    <cfRule type="cellIs" dxfId="92" priority="396" operator="equal">
      <formula>"Low"</formula>
    </cfRule>
    <cfRule type="cellIs" dxfId="91" priority="395" operator="equal">
      <formula>"Very High"</formula>
    </cfRule>
    <cfRule type="cellIs" dxfId="90" priority="393" operator="equal">
      <formula>"High"</formula>
    </cfRule>
    <cfRule type="cellIs" dxfId="89" priority="394" operator="equal">
      <formula>"Very Low"</formula>
    </cfRule>
  </conditionalFormatting>
  <conditionalFormatting sqref="C25">
    <cfRule type="cellIs" dxfId="88" priority="246" operator="equal">
      <formula>"Medium"</formula>
    </cfRule>
    <cfRule type="cellIs" dxfId="87" priority="245" operator="equal">
      <formula>"Low"</formula>
    </cfRule>
    <cfRule type="cellIs" dxfId="86" priority="244" operator="equal">
      <formula>"Very High"</formula>
    </cfRule>
    <cfRule type="cellIs" dxfId="85" priority="243" operator="equal">
      <formula>"Very Low"</formula>
    </cfRule>
    <cfRule type="cellIs" dxfId="84" priority="242" operator="equal">
      <formula>"High"</formula>
    </cfRule>
  </conditionalFormatting>
  <conditionalFormatting sqref="C33">
    <cfRule type="cellIs" dxfId="83" priority="226" operator="equal">
      <formula>"Medium"</formula>
    </cfRule>
    <cfRule type="cellIs" dxfId="82" priority="225" operator="equal">
      <formula>"Low"</formula>
    </cfRule>
    <cfRule type="cellIs" dxfId="81" priority="222" operator="equal">
      <formula>"High"</formula>
    </cfRule>
    <cfRule type="cellIs" dxfId="80" priority="224" operator="equal">
      <formula>"Very High"</formula>
    </cfRule>
    <cfRule type="cellIs" dxfId="79" priority="223" operator="equal">
      <formula>"Very Low"</formula>
    </cfRule>
  </conditionalFormatting>
  <conditionalFormatting sqref="C41">
    <cfRule type="cellIs" dxfId="78" priority="205" operator="equal">
      <formula>"Low"</formula>
    </cfRule>
    <cfRule type="cellIs" dxfId="77" priority="206" operator="equal">
      <formula>"Medium"</formula>
    </cfRule>
    <cfRule type="cellIs" dxfId="76" priority="204" operator="equal">
      <formula>"Very High"</formula>
    </cfRule>
    <cfRule type="cellIs" dxfId="75" priority="202" operator="equal">
      <formula>"High"</formula>
    </cfRule>
    <cfRule type="cellIs" dxfId="74" priority="203" operator="equal">
      <formula>"Very Low"</formula>
    </cfRule>
  </conditionalFormatting>
  <conditionalFormatting sqref="C49">
    <cfRule type="cellIs" dxfId="73" priority="186" operator="equal">
      <formula>"Medium"</formula>
    </cfRule>
    <cfRule type="cellIs" dxfId="72" priority="184" operator="equal">
      <formula>"Very High"</formula>
    </cfRule>
    <cfRule type="cellIs" dxfId="71" priority="185" operator="equal">
      <formula>"Low"</formula>
    </cfRule>
    <cfRule type="cellIs" dxfId="70" priority="182" operator="equal">
      <formula>"High"</formula>
    </cfRule>
    <cfRule type="cellIs" dxfId="69" priority="183" operator="equal">
      <formula>"Very Low"</formula>
    </cfRule>
  </conditionalFormatting>
  <conditionalFormatting sqref="C57:C1048576">
    <cfRule type="cellIs" dxfId="68" priority="169" operator="equal">
      <formula>"Very High"</formula>
    </cfRule>
    <cfRule type="cellIs" dxfId="67" priority="170" operator="equal">
      <formula>"Low"</formula>
    </cfRule>
    <cfRule type="cellIs" dxfId="66" priority="171" operator="equal">
      <formula>"Medium"</formula>
    </cfRule>
  </conditionalFormatting>
  <conditionalFormatting sqref="J1:J1048576">
    <cfRule type="cellIs" dxfId="65" priority="2" operator="equal">
      <formula>4</formula>
    </cfRule>
    <cfRule type="cellIs" dxfId="64" priority="3" operator="equal">
      <formula>3</formula>
    </cfRule>
    <cfRule type="cellIs" dxfId="63" priority="4" operator="equal">
      <formula>2</formula>
    </cfRule>
    <cfRule type="cellIs" dxfId="62" priority="5" operator="equal">
      <formula>1</formula>
    </cfRule>
    <cfRule type="cellIs" dxfId="61" priority="1" operator="equal">
      <formula>5</formula>
    </cfRule>
  </conditionalFormatting>
  <conditionalFormatting sqref="W3">
    <cfRule type="cellIs" dxfId="60" priority="297" operator="equal">
      <formula>5</formula>
    </cfRule>
    <cfRule type="cellIs" dxfId="59" priority="299" operator="equal">
      <formula>3</formula>
    </cfRule>
    <cfRule type="cellIs" dxfId="58" priority="298" operator="equal">
      <formula>4</formula>
    </cfRule>
    <cfRule type="cellIs" dxfId="57" priority="301" operator="equal">
      <formula>1</formula>
    </cfRule>
    <cfRule type="cellIs" dxfId="56" priority="300" operator="equal">
      <formula>2</formula>
    </cfRule>
  </conditionalFormatting>
  <conditionalFormatting sqref="W17">
    <cfRule type="cellIs" dxfId="55" priority="311" operator="equal">
      <formula>1</formula>
    </cfRule>
    <cfRule type="cellIs" dxfId="54" priority="310" operator="equal">
      <formula>2</formula>
    </cfRule>
    <cfRule type="cellIs" dxfId="53" priority="307" operator="equal">
      <formula>5</formula>
    </cfRule>
    <cfRule type="cellIs" dxfId="52" priority="309" operator="equal">
      <formula>3</formula>
    </cfRule>
    <cfRule type="cellIs" dxfId="51" priority="308" operator="equal">
      <formula>4</formula>
    </cfRule>
  </conditionalFormatting>
  <conditionalFormatting sqref="W22">
    <cfRule type="cellIs" dxfId="50" priority="255" operator="equal">
      <formula>2</formula>
    </cfRule>
    <cfRule type="cellIs" dxfId="49" priority="254" operator="equal">
      <formula>3</formula>
    </cfRule>
    <cfRule type="cellIs" dxfId="48" priority="253" operator="equal">
      <formula>4</formula>
    </cfRule>
    <cfRule type="cellIs" dxfId="47" priority="252" operator="equal">
      <formula>5</formula>
    </cfRule>
    <cfRule type="cellIs" dxfId="46" priority="256" operator="equal">
      <formula>1</formula>
    </cfRule>
  </conditionalFormatting>
  <conditionalFormatting sqref="W25">
    <cfRule type="cellIs" dxfId="45" priority="238" operator="equal">
      <formula>4</formula>
    </cfRule>
    <cfRule type="cellIs" dxfId="44" priority="239" operator="equal">
      <formula>3</formula>
    </cfRule>
    <cfRule type="cellIs" dxfId="43" priority="240" operator="equal">
      <formula>2</formula>
    </cfRule>
    <cfRule type="cellIs" dxfId="42" priority="241" operator="equal">
      <formula>1</formula>
    </cfRule>
    <cfRule type="cellIs" dxfId="41" priority="237" operator="equal">
      <formula>5</formula>
    </cfRule>
  </conditionalFormatting>
  <conditionalFormatting sqref="W30">
    <cfRule type="cellIs" dxfId="40" priority="232" operator="equal">
      <formula>5</formula>
    </cfRule>
    <cfRule type="cellIs" dxfId="39" priority="234" operator="equal">
      <formula>3</formula>
    </cfRule>
    <cfRule type="cellIs" dxfId="38" priority="235" operator="equal">
      <formula>2</formula>
    </cfRule>
    <cfRule type="cellIs" dxfId="37" priority="236" operator="equal">
      <formula>1</formula>
    </cfRule>
    <cfRule type="cellIs" dxfId="36" priority="233" operator="equal">
      <formula>4</formula>
    </cfRule>
  </conditionalFormatting>
  <conditionalFormatting sqref="W33">
    <cfRule type="cellIs" dxfId="35" priority="218" operator="equal">
      <formula>4</formula>
    </cfRule>
    <cfRule type="cellIs" dxfId="34" priority="220" operator="equal">
      <formula>2</formula>
    </cfRule>
    <cfRule type="cellIs" dxfId="33" priority="221" operator="equal">
      <formula>1</formula>
    </cfRule>
    <cfRule type="cellIs" dxfId="32" priority="219" operator="equal">
      <formula>3</formula>
    </cfRule>
    <cfRule type="cellIs" dxfId="31" priority="217" operator="equal">
      <formula>5</formula>
    </cfRule>
  </conditionalFormatting>
  <conditionalFormatting sqref="W38">
    <cfRule type="cellIs" dxfId="30" priority="216" operator="equal">
      <formula>1</formula>
    </cfRule>
    <cfRule type="cellIs" dxfId="29" priority="215" operator="equal">
      <formula>2</formula>
    </cfRule>
    <cfRule type="cellIs" dxfId="28" priority="214" operator="equal">
      <formula>3</formula>
    </cfRule>
    <cfRule type="cellIs" dxfId="27" priority="213" operator="equal">
      <formula>4</formula>
    </cfRule>
    <cfRule type="cellIs" dxfId="26" priority="212" operator="equal">
      <formula>5</formula>
    </cfRule>
  </conditionalFormatting>
  <conditionalFormatting sqref="W41">
    <cfRule type="cellIs" dxfId="25" priority="200" operator="equal">
      <formula>2</formula>
    </cfRule>
    <cfRule type="cellIs" dxfId="24" priority="199" operator="equal">
      <formula>3</formula>
    </cfRule>
    <cfRule type="cellIs" dxfId="23" priority="198" operator="equal">
      <formula>4</formula>
    </cfRule>
    <cfRule type="cellIs" dxfId="22" priority="197" operator="equal">
      <formula>5</formula>
    </cfRule>
    <cfRule type="cellIs" dxfId="21" priority="201" operator="equal">
      <formula>1</formula>
    </cfRule>
  </conditionalFormatting>
  <conditionalFormatting sqref="W46">
    <cfRule type="cellIs" dxfId="20" priority="196" operator="equal">
      <formula>1</formula>
    </cfRule>
    <cfRule type="cellIs" dxfId="19" priority="195" operator="equal">
      <formula>2</formula>
    </cfRule>
    <cfRule type="cellIs" dxfId="18" priority="194" operator="equal">
      <formula>3</formula>
    </cfRule>
    <cfRule type="cellIs" dxfId="17" priority="193" operator="equal">
      <formula>4</formula>
    </cfRule>
    <cfRule type="cellIs" dxfId="16" priority="192" operator="equal">
      <formula>5</formula>
    </cfRule>
  </conditionalFormatting>
  <conditionalFormatting sqref="W49">
    <cfRule type="cellIs" dxfId="15" priority="181" operator="equal">
      <formula>1</formula>
    </cfRule>
    <cfRule type="cellIs" dxfId="14" priority="180" operator="equal">
      <formula>2</formula>
    </cfRule>
    <cfRule type="cellIs" dxfId="13" priority="178" operator="equal">
      <formula>4</formula>
    </cfRule>
    <cfRule type="cellIs" dxfId="12" priority="177" operator="equal">
      <formula>5</formula>
    </cfRule>
    <cfRule type="cellIs" dxfId="11" priority="179" operator="equal">
      <formula>3</formula>
    </cfRule>
  </conditionalFormatting>
  <conditionalFormatting sqref="W54">
    <cfRule type="cellIs" dxfId="10" priority="176" operator="equal">
      <formula>1</formula>
    </cfRule>
    <cfRule type="cellIs" dxfId="9" priority="175" operator="equal">
      <formula>2</formula>
    </cfRule>
    <cfRule type="cellIs" dxfId="8" priority="174" operator="equal">
      <formula>3</formula>
    </cfRule>
    <cfRule type="cellIs" dxfId="7" priority="172" operator="equal">
      <formula>5</formula>
    </cfRule>
    <cfRule type="cellIs" dxfId="6" priority="173" operator="equal">
      <formula>4</formula>
    </cfRule>
  </conditionalFormatting>
  <conditionalFormatting sqref="Y182:Y206">
    <cfRule type="cellIs" dxfId="5" priority="319" stopIfTrue="1" operator="equal">
      <formula>"High"</formula>
    </cfRule>
    <cfRule type="cellIs" dxfId="4" priority="318" stopIfTrue="1" operator="equal">
      <formula>"Medium"</formula>
    </cfRule>
    <cfRule type="cellIs" dxfId="3" priority="317" stopIfTrue="1" operator="equal">
      <formula>"Low"</formula>
    </cfRule>
  </conditionalFormatting>
  <conditionalFormatting sqref="Z695:AB715">
    <cfRule type="cellIs" dxfId="2" priority="163" stopIfTrue="1" operator="equal">
      <formula>"High"</formula>
    </cfRule>
    <cfRule type="cellIs" dxfId="1" priority="161" stopIfTrue="1" operator="equal">
      <formula>"Low"</formula>
    </cfRule>
    <cfRule type="cellIs" dxfId="0" priority="162" stopIfTrue="1" operator="equal">
      <formula>"Medium"</formula>
    </cfRule>
  </conditionalFormatting>
  <dataValidations count="3">
    <dataValidation type="list" allowBlank="1" showInputMessage="1" showErrorMessage="1" sqref="P55:P56 Q19 N19 T19 M3:M9 S3:S9 P3:P9 P17:P19 M17:M19 N24 S17:S19 Q24 T24 M23:M27 S23:S27 P23:P27 N32 Q27 N27 T27 Q32 T32 M31:M35 S31:S35 P31:P35 N40 Q40 Q35 N35 T35 T40 P39:P43 S55:S56 M39:M43 S39:S43 N48 Q48 T48 Q43 N43 T43 S47:S51 G3:H56 P47:P51 M47:M51 M55:M56 N56 Q56 T56 Q51 N51 T51" xr:uid="{00000000-0002-0000-0400-000000000000}">
      <formula1>"1,2,3,4,5"</formula1>
    </dataValidation>
    <dataValidation type="list" allowBlank="1" showInputMessage="1" showErrorMessage="1" sqref="X3 K20:K22 K17 K3 K10 X17:X19 X22:X27 K25 K28:K30 X30:X35 K36:K38 K33 X38:X43 K41 K44:K46 X46:X51 X54:X56 K49 K52:K54" xr:uid="{00000000-0002-0000-0400-000001000000}">
      <formula1>"Treat, Terminate, Transfer, Accept"</formula1>
    </dataValidation>
    <dataValidation type="list" allowBlank="1" showInputMessage="1" showErrorMessage="1" sqref="X57:X64 X100:X107" xr:uid="{00000000-0002-0000-0400-000002000000}">
      <formula1>"Treat, Accept, Transfer, Terminate, Retain"</formula1>
    </dataValidation>
  </dataValidations>
  <pageMargins left="0.7" right="0.7" top="0.75" bottom="0.75" header="0.3" footer="0.3"/>
  <pageSetup paperSize="9" orientation="portrait" verticalDpi="0" r:id="rId1"/>
  <ignoredErrors>
    <ignoredError sqref="C3" evalError="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8"/>
  <sheetViews>
    <sheetView zoomScale="85" zoomScaleNormal="85" workbookViewId="0">
      <selection activeCell="A3" sqref="A3:A6"/>
    </sheetView>
  </sheetViews>
  <sheetFormatPr defaultColWidth="9.1796875" defaultRowHeight="12.5" x14ac:dyDescent="0.25"/>
  <cols>
    <col min="1" max="1" width="5" style="3" customWidth="1"/>
    <col min="2" max="2" width="14.7265625" style="3" customWidth="1"/>
    <col min="3" max="3" width="15.81640625" style="3" customWidth="1"/>
    <col min="4" max="4" width="26.54296875" style="3" customWidth="1"/>
    <col min="5" max="6" width="19.26953125" style="3" customWidth="1"/>
    <col min="7" max="7" width="18.7265625" style="3" customWidth="1"/>
    <col min="8" max="8" width="13.26953125" style="3" customWidth="1"/>
    <col min="9" max="9" width="12.54296875" style="3" bestFit="1" customWidth="1"/>
    <col min="10" max="11" width="12.54296875" style="3" customWidth="1"/>
    <col min="12" max="12" width="16.81640625" style="3" customWidth="1"/>
    <col min="13" max="13" width="23.1796875" style="3" customWidth="1"/>
    <col min="14" max="14" width="27.7265625" style="3" bestFit="1" customWidth="1"/>
    <col min="15" max="16384" width="9.1796875" style="3"/>
  </cols>
  <sheetData>
    <row r="1" spans="1:14" ht="27.75" customHeight="1" x14ac:dyDescent="0.25">
      <c r="A1" s="190" t="s">
        <v>6</v>
      </c>
      <c r="B1" s="190" t="s">
        <v>138</v>
      </c>
      <c r="C1" s="190" t="s">
        <v>7</v>
      </c>
      <c r="D1" s="190" t="s">
        <v>8</v>
      </c>
      <c r="E1" s="190" t="s">
        <v>9</v>
      </c>
      <c r="F1" s="190" t="s">
        <v>10</v>
      </c>
      <c r="G1" s="190" t="s">
        <v>11</v>
      </c>
      <c r="H1" s="191" t="s">
        <v>12</v>
      </c>
      <c r="I1" s="192"/>
      <c r="J1" s="191" t="s">
        <v>13</v>
      </c>
      <c r="K1" s="192"/>
      <c r="L1" s="190" t="s">
        <v>14</v>
      </c>
      <c r="M1" s="190" t="s">
        <v>15</v>
      </c>
      <c r="N1" s="190" t="s">
        <v>16</v>
      </c>
    </row>
    <row r="2" spans="1:14" ht="30" customHeight="1" x14ac:dyDescent="0.25">
      <c r="A2" s="190"/>
      <c r="B2" s="190"/>
      <c r="C2" s="190"/>
      <c r="D2" s="190"/>
      <c r="E2" s="190"/>
      <c r="F2" s="190"/>
      <c r="G2" s="190"/>
      <c r="H2" s="41" t="s">
        <v>17</v>
      </c>
      <c r="I2" s="41" t="s">
        <v>18</v>
      </c>
      <c r="J2" s="41" t="s">
        <v>17</v>
      </c>
      <c r="K2" s="41" t="s">
        <v>18</v>
      </c>
      <c r="L2" s="190"/>
      <c r="M2" s="190"/>
      <c r="N2" s="190"/>
    </row>
    <row r="3" spans="1:14" ht="14.5" x14ac:dyDescent="0.25">
      <c r="A3" s="196"/>
      <c r="B3" s="193"/>
      <c r="C3" s="193"/>
      <c r="D3" s="4"/>
      <c r="E3" s="193"/>
      <c r="F3" s="193"/>
      <c r="G3" s="193"/>
      <c r="H3" s="193"/>
      <c r="I3" s="193"/>
      <c r="J3" s="193"/>
      <c r="K3" s="193"/>
      <c r="L3" s="193"/>
      <c r="M3" s="4"/>
      <c r="N3" s="193"/>
    </row>
    <row r="4" spans="1:14" ht="14.5" x14ac:dyDescent="0.25">
      <c r="A4" s="197"/>
      <c r="B4" s="194"/>
      <c r="C4" s="194"/>
      <c r="D4" s="4"/>
      <c r="E4" s="194"/>
      <c r="F4" s="194"/>
      <c r="G4" s="194"/>
      <c r="H4" s="194"/>
      <c r="I4" s="194"/>
      <c r="J4" s="194"/>
      <c r="K4" s="194"/>
      <c r="L4" s="194"/>
      <c r="M4" s="4"/>
      <c r="N4" s="194"/>
    </row>
    <row r="5" spans="1:14" ht="14.5" x14ac:dyDescent="0.25">
      <c r="A5" s="197"/>
      <c r="B5" s="194"/>
      <c r="C5" s="194"/>
      <c r="D5" s="4"/>
      <c r="E5" s="194"/>
      <c r="F5" s="194"/>
      <c r="G5" s="194"/>
      <c r="H5" s="194"/>
      <c r="I5" s="194"/>
      <c r="J5" s="194"/>
      <c r="K5" s="194"/>
      <c r="L5" s="194"/>
      <c r="M5" s="4"/>
      <c r="N5" s="194"/>
    </row>
    <row r="6" spans="1:14" ht="14.5" x14ac:dyDescent="0.25">
      <c r="A6" s="198"/>
      <c r="B6" s="195"/>
      <c r="C6" s="195"/>
      <c r="D6" s="4"/>
      <c r="E6" s="195"/>
      <c r="F6" s="195"/>
      <c r="G6" s="195"/>
      <c r="H6" s="195"/>
      <c r="I6" s="195"/>
      <c r="J6" s="195"/>
      <c r="K6" s="195"/>
      <c r="L6" s="195"/>
      <c r="M6" s="4"/>
      <c r="N6" s="195"/>
    </row>
    <row r="7" spans="1:14" ht="14.5" x14ac:dyDescent="0.25">
      <c r="A7" s="196"/>
      <c r="B7" s="193"/>
      <c r="C7" s="193"/>
      <c r="D7" s="4"/>
      <c r="E7" s="193"/>
      <c r="F7" s="193"/>
      <c r="G7" s="193"/>
      <c r="H7" s="193"/>
      <c r="I7" s="193"/>
      <c r="J7" s="193"/>
      <c r="K7" s="193"/>
      <c r="L7" s="193"/>
      <c r="M7" s="4"/>
      <c r="N7" s="193"/>
    </row>
    <row r="8" spans="1:14" ht="14.5" x14ac:dyDescent="0.25">
      <c r="A8" s="197"/>
      <c r="B8" s="194"/>
      <c r="C8" s="194"/>
      <c r="D8" s="4"/>
      <c r="E8" s="194"/>
      <c r="F8" s="194"/>
      <c r="G8" s="194"/>
      <c r="H8" s="194"/>
      <c r="I8" s="194"/>
      <c r="J8" s="194"/>
      <c r="K8" s="194"/>
      <c r="L8" s="194"/>
      <c r="M8" s="4"/>
      <c r="N8" s="194"/>
    </row>
    <row r="9" spans="1:14" ht="14.5" x14ac:dyDescent="0.25">
      <c r="A9" s="197"/>
      <c r="B9" s="194"/>
      <c r="C9" s="194"/>
      <c r="D9" s="4"/>
      <c r="E9" s="194"/>
      <c r="F9" s="194"/>
      <c r="G9" s="194"/>
      <c r="H9" s="194"/>
      <c r="I9" s="194"/>
      <c r="J9" s="194"/>
      <c r="K9" s="194"/>
      <c r="L9" s="194"/>
      <c r="M9" s="4"/>
      <c r="N9" s="194"/>
    </row>
    <row r="10" spans="1:14" ht="14.5" x14ac:dyDescent="0.25">
      <c r="A10" s="198"/>
      <c r="B10" s="195"/>
      <c r="C10" s="195"/>
      <c r="D10" s="4"/>
      <c r="E10" s="195"/>
      <c r="F10" s="195"/>
      <c r="G10" s="195"/>
      <c r="H10" s="195"/>
      <c r="I10" s="195"/>
      <c r="J10" s="195"/>
      <c r="K10" s="195"/>
      <c r="L10" s="195"/>
      <c r="M10" s="4"/>
      <c r="N10" s="195"/>
    </row>
    <row r="11" spans="1:14" ht="14.5" x14ac:dyDescent="0.25">
      <c r="A11" s="196"/>
      <c r="B11" s="193"/>
      <c r="C11" s="193"/>
      <c r="D11" s="4"/>
      <c r="E11" s="193"/>
      <c r="F11" s="193"/>
      <c r="G11" s="193"/>
      <c r="H11" s="193"/>
      <c r="I11" s="193"/>
      <c r="J11" s="193"/>
      <c r="K11" s="193"/>
      <c r="L11" s="193"/>
      <c r="M11" s="4"/>
      <c r="N11" s="193"/>
    </row>
    <row r="12" spans="1:14" ht="14.5" x14ac:dyDescent="0.25">
      <c r="A12" s="197"/>
      <c r="B12" s="194"/>
      <c r="C12" s="194"/>
      <c r="D12" s="4"/>
      <c r="E12" s="194"/>
      <c r="F12" s="194"/>
      <c r="G12" s="194"/>
      <c r="H12" s="194"/>
      <c r="I12" s="194"/>
      <c r="J12" s="194"/>
      <c r="K12" s="194"/>
      <c r="L12" s="194"/>
      <c r="M12" s="4"/>
      <c r="N12" s="194"/>
    </row>
    <row r="13" spans="1:14" ht="14.5" x14ac:dyDescent="0.25">
      <c r="A13" s="197"/>
      <c r="B13" s="194"/>
      <c r="C13" s="194"/>
      <c r="D13" s="4"/>
      <c r="E13" s="194"/>
      <c r="F13" s="194"/>
      <c r="G13" s="194"/>
      <c r="H13" s="194"/>
      <c r="I13" s="194"/>
      <c r="J13" s="194"/>
      <c r="K13" s="194"/>
      <c r="L13" s="194"/>
      <c r="M13" s="4"/>
      <c r="N13" s="194"/>
    </row>
    <row r="14" spans="1:14" ht="14.5" x14ac:dyDescent="0.25">
      <c r="A14" s="198"/>
      <c r="B14" s="195"/>
      <c r="C14" s="195"/>
      <c r="D14" s="4"/>
      <c r="E14" s="195"/>
      <c r="F14" s="195"/>
      <c r="G14" s="195"/>
      <c r="H14" s="195"/>
      <c r="I14" s="195"/>
      <c r="J14" s="195"/>
      <c r="K14" s="195"/>
      <c r="L14" s="195"/>
      <c r="M14" s="4"/>
      <c r="N14" s="195"/>
    </row>
    <row r="15" spans="1:14" ht="14.5" x14ac:dyDescent="0.25">
      <c r="A15" s="196"/>
      <c r="B15" s="193"/>
      <c r="C15" s="193"/>
      <c r="D15" s="4"/>
      <c r="E15" s="193"/>
      <c r="F15" s="193"/>
      <c r="G15" s="193"/>
      <c r="H15" s="193"/>
      <c r="I15" s="193"/>
      <c r="J15" s="193"/>
      <c r="K15" s="193"/>
      <c r="L15" s="193"/>
      <c r="M15" s="4"/>
      <c r="N15" s="193"/>
    </row>
    <row r="16" spans="1:14" ht="14.5" x14ac:dyDescent="0.25">
      <c r="A16" s="197"/>
      <c r="B16" s="194"/>
      <c r="C16" s="194"/>
      <c r="D16" s="4"/>
      <c r="E16" s="194"/>
      <c r="F16" s="194"/>
      <c r="G16" s="194"/>
      <c r="H16" s="194"/>
      <c r="I16" s="194"/>
      <c r="J16" s="194"/>
      <c r="K16" s="194"/>
      <c r="L16" s="194"/>
      <c r="M16" s="4"/>
      <c r="N16" s="194"/>
    </row>
    <row r="17" spans="1:14" ht="14.5" x14ac:dyDescent="0.25">
      <c r="A17" s="197"/>
      <c r="B17" s="194"/>
      <c r="C17" s="194"/>
      <c r="D17" s="4"/>
      <c r="E17" s="194"/>
      <c r="F17" s="194"/>
      <c r="G17" s="194"/>
      <c r="H17" s="194"/>
      <c r="I17" s="194"/>
      <c r="J17" s="194"/>
      <c r="K17" s="194"/>
      <c r="L17" s="194"/>
      <c r="M17" s="4"/>
      <c r="N17" s="194"/>
    </row>
    <row r="18" spans="1:14" ht="14.5" x14ac:dyDescent="0.25">
      <c r="A18" s="198"/>
      <c r="B18" s="195"/>
      <c r="C18" s="195"/>
      <c r="D18" s="4"/>
      <c r="E18" s="195"/>
      <c r="F18" s="195"/>
      <c r="G18" s="195"/>
      <c r="H18" s="195"/>
      <c r="I18" s="195"/>
      <c r="J18" s="195"/>
      <c r="K18" s="195"/>
      <c r="L18" s="195"/>
      <c r="M18" s="4"/>
      <c r="N18" s="195"/>
    </row>
    <row r="19" spans="1:14" ht="14.5" x14ac:dyDescent="0.25">
      <c r="A19" s="196"/>
      <c r="B19" s="193"/>
      <c r="C19" s="193"/>
      <c r="D19" s="4"/>
      <c r="E19" s="193"/>
      <c r="F19" s="193"/>
      <c r="G19" s="193"/>
      <c r="H19" s="193"/>
      <c r="I19" s="193"/>
      <c r="J19" s="193"/>
      <c r="K19" s="193"/>
      <c r="L19" s="193"/>
      <c r="M19" s="4"/>
      <c r="N19" s="193"/>
    </row>
    <row r="20" spans="1:14" ht="14.5" x14ac:dyDescent="0.25">
      <c r="A20" s="197"/>
      <c r="B20" s="194"/>
      <c r="C20" s="194"/>
      <c r="D20" s="4"/>
      <c r="E20" s="194"/>
      <c r="F20" s="194"/>
      <c r="G20" s="194"/>
      <c r="H20" s="194"/>
      <c r="I20" s="194"/>
      <c r="J20" s="194"/>
      <c r="K20" s="194"/>
      <c r="L20" s="194"/>
      <c r="M20" s="4"/>
      <c r="N20" s="194"/>
    </row>
    <row r="21" spans="1:14" ht="14.5" x14ac:dyDescent="0.25">
      <c r="A21" s="197"/>
      <c r="B21" s="194"/>
      <c r="C21" s="194"/>
      <c r="D21" s="4"/>
      <c r="E21" s="194"/>
      <c r="F21" s="194"/>
      <c r="G21" s="194"/>
      <c r="H21" s="194"/>
      <c r="I21" s="194"/>
      <c r="J21" s="194"/>
      <c r="K21" s="194"/>
      <c r="L21" s="194"/>
      <c r="M21" s="4"/>
      <c r="N21" s="194"/>
    </row>
    <row r="22" spans="1:14" ht="14.5" x14ac:dyDescent="0.25">
      <c r="A22" s="198"/>
      <c r="B22" s="195"/>
      <c r="C22" s="195"/>
      <c r="D22" s="4"/>
      <c r="E22" s="195"/>
      <c r="F22" s="195"/>
      <c r="G22" s="195"/>
      <c r="H22" s="195"/>
      <c r="I22" s="195"/>
      <c r="J22" s="195"/>
      <c r="K22" s="195"/>
      <c r="L22" s="195"/>
      <c r="M22" s="4"/>
      <c r="N22" s="195"/>
    </row>
    <row r="23" spans="1:14" ht="14.5" x14ac:dyDescent="0.25">
      <c r="A23" s="196"/>
      <c r="B23" s="193"/>
      <c r="C23" s="193"/>
      <c r="D23" s="4"/>
      <c r="E23" s="193"/>
      <c r="F23" s="193"/>
      <c r="G23" s="193"/>
      <c r="H23" s="193"/>
      <c r="I23" s="193"/>
      <c r="J23" s="193"/>
      <c r="K23" s="193"/>
      <c r="L23" s="193"/>
      <c r="M23" s="4"/>
      <c r="N23" s="193"/>
    </row>
    <row r="24" spans="1:14" ht="14.5" x14ac:dyDescent="0.25">
      <c r="A24" s="197"/>
      <c r="B24" s="194"/>
      <c r="C24" s="194"/>
      <c r="D24" s="4"/>
      <c r="E24" s="194"/>
      <c r="F24" s="194"/>
      <c r="G24" s="194"/>
      <c r="H24" s="194"/>
      <c r="I24" s="194"/>
      <c r="J24" s="194"/>
      <c r="K24" s="194"/>
      <c r="L24" s="194"/>
      <c r="M24" s="4"/>
      <c r="N24" s="194"/>
    </row>
    <row r="25" spans="1:14" ht="14.5" x14ac:dyDescent="0.25">
      <c r="A25" s="197"/>
      <c r="B25" s="194"/>
      <c r="C25" s="194"/>
      <c r="D25" s="4"/>
      <c r="E25" s="194"/>
      <c r="F25" s="194"/>
      <c r="G25" s="194"/>
      <c r="H25" s="194"/>
      <c r="I25" s="194"/>
      <c r="J25" s="194"/>
      <c r="K25" s="194"/>
      <c r="L25" s="194"/>
      <c r="M25" s="4"/>
      <c r="N25" s="194"/>
    </row>
    <row r="26" spans="1:14" ht="14.5" x14ac:dyDescent="0.25">
      <c r="A26" s="198"/>
      <c r="B26" s="195"/>
      <c r="C26" s="195"/>
      <c r="D26" s="4"/>
      <c r="E26" s="195"/>
      <c r="F26" s="195"/>
      <c r="G26" s="195"/>
      <c r="H26" s="195"/>
      <c r="I26" s="195"/>
      <c r="J26" s="195"/>
      <c r="K26" s="195"/>
      <c r="L26" s="195"/>
      <c r="M26" s="4"/>
      <c r="N26" s="195"/>
    </row>
    <row r="27" spans="1:14" ht="14.5" x14ac:dyDescent="0.25">
      <c r="A27" s="196"/>
      <c r="B27" s="193"/>
      <c r="C27" s="193"/>
      <c r="D27" s="4"/>
      <c r="E27" s="193"/>
      <c r="F27" s="193"/>
      <c r="G27" s="193"/>
      <c r="H27" s="193"/>
      <c r="I27" s="193"/>
      <c r="J27" s="193"/>
      <c r="K27" s="193"/>
      <c r="L27" s="193"/>
      <c r="M27" s="4"/>
      <c r="N27" s="193"/>
    </row>
    <row r="28" spans="1:14" ht="14.5" x14ac:dyDescent="0.25">
      <c r="A28" s="197"/>
      <c r="B28" s="194"/>
      <c r="C28" s="194"/>
      <c r="D28" s="4"/>
      <c r="E28" s="194"/>
      <c r="F28" s="194"/>
      <c r="G28" s="194"/>
      <c r="H28" s="194"/>
      <c r="I28" s="194"/>
      <c r="J28" s="194"/>
      <c r="K28" s="194"/>
      <c r="L28" s="194"/>
      <c r="M28" s="4"/>
      <c r="N28" s="194"/>
    </row>
    <row r="29" spans="1:14" ht="14.5" x14ac:dyDescent="0.25">
      <c r="A29" s="197"/>
      <c r="B29" s="194"/>
      <c r="C29" s="194"/>
      <c r="D29" s="4"/>
      <c r="E29" s="194"/>
      <c r="F29" s="194"/>
      <c r="G29" s="194"/>
      <c r="H29" s="194"/>
      <c r="I29" s="194"/>
      <c r="J29" s="194"/>
      <c r="K29" s="194"/>
      <c r="L29" s="194"/>
      <c r="M29" s="4"/>
      <c r="N29" s="194"/>
    </row>
    <row r="30" spans="1:14" ht="14.5" x14ac:dyDescent="0.25">
      <c r="A30" s="198"/>
      <c r="B30" s="195"/>
      <c r="C30" s="195"/>
      <c r="D30" s="4"/>
      <c r="E30" s="195"/>
      <c r="F30" s="195"/>
      <c r="G30" s="195"/>
      <c r="H30" s="195"/>
      <c r="I30" s="195"/>
      <c r="J30" s="195"/>
      <c r="K30" s="195"/>
      <c r="L30" s="195"/>
      <c r="M30" s="4"/>
      <c r="N30" s="195"/>
    </row>
    <row r="31" spans="1:14" ht="14.5" x14ac:dyDescent="0.25">
      <c r="A31" s="196"/>
      <c r="B31" s="193"/>
      <c r="C31" s="193"/>
      <c r="D31" s="4"/>
      <c r="E31" s="193"/>
      <c r="F31" s="193"/>
      <c r="G31" s="193"/>
      <c r="H31" s="193"/>
      <c r="I31" s="193"/>
      <c r="J31" s="193"/>
      <c r="K31" s="193"/>
      <c r="L31" s="193"/>
      <c r="M31" s="4"/>
      <c r="N31" s="193"/>
    </row>
    <row r="32" spans="1:14" ht="14.5" x14ac:dyDescent="0.25">
      <c r="A32" s="197"/>
      <c r="B32" s="194"/>
      <c r="C32" s="194"/>
      <c r="D32" s="4"/>
      <c r="E32" s="194"/>
      <c r="F32" s="194"/>
      <c r="G32" s="194"/>
      <c r="H32" s="194"/>
      <c r="I32" s="194"/>
      <c r="J32" s="194"/>
      <c r="K32" s="194"/>
      <c r="L32" s="194"/>
      <c r="M32" s="4"/>
      <c r="N32" s="194"/>
    </row>
    <row r="33" spans="1:14" ht="14.5" x14ac:dyDescent="0.25">
      <c r="A33" s="197"/>
      <c r="B33" s="194"/>
      <c r="C33" s="194"/>
      <c r="D33" s="4"/>
      <c r="E33" s="194"/>
      <c r="F33" s="194"/>
      <c r="G33" s="194"/>
      <c r="H33" s="194"/>
      <c r="I33" s="194"/>
      <c r="J33" s="194"/>
      <c r="K33" s="194"/>
      <c r="L33" s="194"/>
      <c r="M33" s="4"/>
      <c r="N33" s="194"/>
    </row>
    <row r="34" spans="1:14" ht="14.5" x14ac:dyDescent="0.25">
      <c r="A34" s="198"/>
      <c r="B34" s="195"/>
      <c r="C34" s="195"/>
      <c r="D34" s="4"/>
      <c r="E34" s="195"/>
      <c r="F34" s="195"/>
      <c r="G34" s="195"/>
      <c r="H34" s="195"/>
      <c r="I34" s="195"/>
      <c r="J34" s="195"/>
      <c r="K34" s="195"/>
      <c r="L34" s="195"/>
      <c r="M34" s="4"/>
      <c r="N34" s="195"/>
    </row>
    <row r="35" spans="1:14" ht="14.5" x14ac:dyDescent="0.25">
      <c r="A35" s="196"/>
      <c r="B35" s="193"/>
      <c r="C35" s="193"/>
      <c r="D35" s="4"/>
      <c r="E35" s="193"/>
      <c r="F35" s="193"/>
      <c r="G35" s="193"/>
      <c r="H35" s="193"/>
      <c r="I35" s="193"/>
      <c r="J35" s="193"/>
      <c r="K35" s="193"/>
      <c r="L35" s="193"/>
      <c r="M35" s="4"/>
      <c r="N35" s="193"/>
    </row>
    <row r="36" spans="1:14" ht="14.5" x14ac:dyDescent="0.25">
      <c r="A36" s="197"/>
      <c r="B36" s="194"/>
      <c r="C36" s="194"/>
      <c r="D36" s="4"/>
      <c r="E36" s="194"/>
      <c r="F36" s="194"/>
      <c r="G36" s="194"/>
      <c r="H36" s="194"/>
      <c r="I36" s="194"/>
      <c r="J36" s="194"/>
      <c r="K36" s="194"/>
      <c r="L36" s="194"/>
      <c r="M36" s="4"/>
      <c r="N36" s="194"/>
    </row>
    <row r="37" spans="1:14" ht="14.5" x14ac:dyDescent="0.25">
      <c r="A37" s="197"/>
      <c r="B37" s="194"/>
      <c r="C37" s="194"/>
      <c r="D37" s="4"/>
      <c r="E37" s="194"/>
      <c r="F37" s="194"/>
      <c r="G37" s="194"/>
      <c r="H37" s="194"/>
      <c r="I37" s="194"/>
      <c r="J37" s="194"/>
      <c r="K37" s="194"/>
      <c r="L37" s="194"/>
      <c r="M37" s="4"/>
      <c r="N37" s="194"/>
    </row>
    <row r="38" spans="1:14" ht="14.5" x14ac:dyDescent="0.25">
      <c r="A38" s="198"/>
      <c r="B38" s="195"/>
      <c r="C38" s="195"/>
      <c r="D38" s="4"/>
      <c r="E38" s="195"/>
      <c r="F38" s="195"/>
      <c r="G38" s="195"/>
      <c r="H38" s="195"/>
      <c r="I38" s="195"/>
      <c r="J38" s="195"/>
      <c r="K38" s="195"/>
      <c r="L38" s="195"/>
      <c r="M38" s="4"/>
      <c r="N38" s="195"/>
    </row>
  </sheetData>
  <mergeCells count="120">
    <mergeCell ref="H35:H38"/>
    <mergeCell ref="I35:I38"/>
    <mergeCell ref="J35:J38"/>
    <mergeCell ref="K35:K38"/>
    <mergeCell ref="L35:L38"/>
    <mergeCell ref="N35:N38"/>
    <mergeCell ref="A35:A38"/>
    <mergeCell ref="B35:B38"/>
    <mergeCell ref="C35:C38"/>
    <mergeCell ref="E35:E38"/>
    <mergeCell ref="F35:F38"/>
    <mergeCell ref="G35:G38"/>
    <mergeCell ref="H31:H34"/>
    <mergeCell ref="I31:I34"/>
    <mergeCell ref="J31:J34"/>
    <mergeCell ref="K31:K34"/>
    <mergeCell ref="L31:L34"/>
    <mergeCell ref="N31:N34"/>
    <mergeCell ref="A31:A34"/>
    <mergeCell ref="B31:B34"/>
    <mergeCell ref="C31:C34"/>
    <mergeCell ref="E31:E34"/>
    <mergeCell ref="F31:F34"/>
    <mergeCell ref="G31:G34"/>
    <mergeCell ref="H27:H30"/>
    <mergeCell ref="I27:I30"/>
    <mergeCell ref="J27:J30"/>
    <mergeCell ref="K27:K30"/>
    <mergeCell ref="L27:L30"/>
    <mergeCell ref="N27:N30"/>
    <mergeCell ref="A27:A30"/>
    <mergeCell ref="B27:B30"/>
    <mergeCell ref="C27:C30"/>
    <mergeCell ref="E27:E30"/>
    <mergeCell ref="F27:F30"/>
    <mergeCell ref="G27:G30"/>
    <mergeCell ref="H23:H26"/>
    <mergeCell ref="I23:I26"/>
    <mergeCell ref="J23:J26"/>
    <mergeCell ref="K23:K26"/>
    <mergeCell ref="L23:L26"/>
    <mergeCell ref="N23:N26"/>
    <mergeCell ref="A23:A26"/>
    <mergeCell ref="B23:B26"/>
    <mergeCell ref="C23:C26"/>
    <mergeCell ref="E23:E26"/>
    <mergeCell ref="F23:F26"/>
    <mergeCell ref="G23:G26"/>
    <mergeCell ref="H19:H22"/>
    <mergeCell ref="I19:I22"/>
    <mergeCell ref="J19:J22"/>
    <mergeCell ref="K19:K22"/>
    <mergeCell ref="L19:L22"/>
    <mergeCell ref="N19:N22"/>
    <mergeCell ref="A19:A22"/>
    <mergeCell ref="B19:B22"/>
    <mergeCell ref="C19:C22"/>
    <mergeCell ref="E19:E22"/>
    <mergeCell ref="F19:F22"/>
    <mergeCell ref="G19:G22"/>
    <mergeCell ref="H15:H18"/>
    <mergeCell ref="I15:I18"/>
    <mergeCell ref="J15:J18"/>
    <mergeCell ref="K15:K18"/>
    <mergeCell ref="L15:L18"/>
    <mergeCell ref="N15:N18"/>
    <mergeCell ref="A15:A18"/>
    <mergeCell ref="B15:B18"/>
    <mergeCell ref="C15:C18"/>
    <mergeCell ref="E15:E18"/>
    <mergeCell ref="F15:F18"/>
    <mergeCell ref="G15:G18"/>
    <mergeCell ref="H11:H14"/>
    <mergeCell ref="I11:I14"/>
    <mergeCell ref="J11:J14"/>
    <mergeCell ref="K11:K14"/>
    <mergeCell ref="L11:L14"/>
    <mergeCell ref="N11:N14"/>
    <mergeCell ref="A11:A14"/>
    <mergeCell ref="B11:B14"/>
    <mergeCell ref="C11:C14"/>
    <mergeCell ref="E11:E14"/>
    <mergeCell ref="F11:F14"/>
    <mergeCell ref="G11:G14"/>
    <mergeCell ref="H7:H10"/>
    <mergeCell ref="I7:I10"/>
    <mergeCell ref="J7:J10"/>
    <mergeCell ref="K7:K10"/>
    <mergeCell ref="L7:L10"/>
    <mergeCell ref="N7:N10"/>
    <mergeCell ref="A7:A10"/>
    <mergeCell ref="B7:B10"/>
    <mergeCell ref="C7:C10"/>
    <mergeCell ref="E7:E10"/>
    <mergeCell ref="F7:F10"/>
    <mergeCell ref="G7:G10"/>
    <mergeCell ref="H3:H6"/>
    <mergeCell ref="I3:I6"/>
    <mergeCell ref="J3:J6"/>
    <mergeCell ref="K3:K6"/>
    <mergeCell ref="L3:L6"/>
    <mergeCell ref="N3:N6"/>
    <mergeCell ref="A3:A6"/>
    <mergeCell ref="B3:B6"/>
    <mergeCell ref="C3:C6"/>
    <mergeCell ref="E3:E6"/>
    <mergeCell ref="F3:F6"/>
    <mergeCell ref="G3:G6"/>
    <mergeCell ref="G1:G2"/>
    <mergeCell ref="H1:I1"/>
    <mergeCell ref="J1:K1"/>
    <mergeCell ref="L1:L2"/>
    <mergeCell ref="M1:M2"/>
    <mergeCell ref="N1:N2"/>
    <mergeCell ref="A1:A2"/>
    <mergeCell ref="B1:B2"/>
    <mergeCell ref="C1:C2"/>
    <mergeCell ref="D1:D2"/>
    <mergeCell ref="E1:E2"/>
    <mergeCell ref="F1:F2"/>
  </mergeCells>
  <dataValidations count="3">
    <dataValidation type="list" allowBlank="1" showInputMessage="1" showErrorMessage="1" sqref="F3:F38" xr:uid="{00000000-0002-0000-0500-000000000000}">
      <formula1>"High, Medium, Low"</formula1>
    </dataValidation>
    <dataValidation type="list" allowBlank="1" showInputMessage="1" showErrorMessage="1" sqref="N3 N7 N11 N15 N19 N23 N27 N31 N35" xr:uid="{00000000-0002-0000-0500-000001000000}">
      <formula1>"Planned,  Partially implemented, Implementation Completed"</formula1>
    </dataValidation>
    <dataValidation type="list" allowBlank="1" showInputMessage="1" showErrorMessage="1" sqref="C3:C38" xr:uid="{00000000-0002-0000-0500-000002000000}">
      <formula1>"Accept, Transfer, Terminate, Treat"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0"/>
  <sheetViews>
    <sheetView workbookViewId="0">
      <selection activeCell="B2" sqref="B2"/>
    </sheetView>
  </sheetViews>
  <sheetFormatPr defaultRowHeight="14.5" x14ac:dyDescent="0.35"/>
  <cols>
    <col min="1" max="1" width="33.81640625" customWidth="1"/>
    <col min="2" max="2" width="98.81640625" customWidth="1"/>
  </cols>
  <sheetData>
    <row r="1" spans="1:2" ht="21" customHeight="1" x14ac:dyDescent="0.35">
      <c r="A1" s="41" t="s">
        <v>119</v>
      </c>
      <c r="B1" s="41" t="s">
        <v>33</v>
      </c>
    </row>
    <row r="2" spans="1:2" ht="104" x14ac:dyDescent="0.35">
      <c r="A2" s="47" t="s">
        <v>35</v>
      </c>
      <c r="B2" s="42" t="s">
        <v>267</v>
      </c>
    </row>
    <row r="3" spans="1:2" ht="39" x14ac:dyDescent="0.35">
      <c r="A3" s="47" t="s">
        <v>45</v>
      </c>
      <c r="B3" s="8" t="s">
        <v>64</v>
      </c>
    </row>
    <row r="4" spans="1:2" ht="130" x14ac:dyDescent="0.35">
      <c r="A4" s="47" t="s">
        <v>46</v>
      </c>
      <c r="B4" s="42" t="s">
        <v>115</v>
      </c>
    </row>
    <row r="5" spans="1:2" ht="39" x14ac:dyDescent="0.35">
      <c r="A5" s="47" t="s">
        <v>47</v>
      </c>
      <c r="B5" s="8" t="s">
        <v>57</v>
      </c>
    </row>
    <row r="6" spans="1:2" ht="39" x14ac:dyDescent="0.35">
      <c r="A6" s="47" t="s">
        <v>48</v>
      </c>
      <c r="B6" s="47" t="s">
        <v>120</v>
      </c>
    </row>
    <row r="7" spans="1:2" ht="60" x14ac:dyDescent="0.35">
      <c r="A7" s="47" t="s">
        <v>63</v>
      </c>
      <c r="B7" s="47" t="s">
        <v>121</v>
      </c>
    </row>
    <row r="8" spans="1:2" ht="84" x14ac:dyDescent="0.35">
      <c r="A8" s="47" t="s">
        <v>49</v>
      </c>
      <c r="B8" s="47" t="s">
        <v>60</v>
      </c>
    </row>
    <row r="9" spans="1:2" ht="112.5" x14ac:dyDescent="0.35">
      <c r="A9" s="47" t="s">
        <v>50</v>
      </c>
      <c r="B9" s="47" t="s">
        <v>122</v>
      </c>
    </row>
    <row r="10" spans="1:2" ht="165" x14ac:dyDescent="0.35">
      <c r="A10" s="47" t="s">
        <v>51</v>
      </c>
      <c r="B10" s="47" t="s">
        <v>123</v>
      </c>
    </row>
    <row r="11" spans="1:2" ht="24" x14ac:dyDescent="0.35">
      <c r="A11" s="47" t="s">
        <v>124</v>
      </c>
      <c r="B11" s="47" t="s">
        <v>125</v>
      </c>
    </row>
    <row r="12" spans="1:2" ht="96" x14ac:dyDescent="0.35">
      <c r="A12" s="47" t="s">
        <v>52</v>
      </c>
      <c r="B12" s="47" t="s">
        <v>126</v>
      </c>
    </row>
    <row r="13" spans="1:2" ht="48" x14ac:dyDescent="0.35">
      <c r="A13" s="47" t="s">
        <v>53</v>
      </c>
      <c r="B13" s="47" t="s">
        <v>58</v>
      </c>
    </row>
    <row r="14" spans="1:2" ht="24" x14ac:dyDescent="0.35">
      <c r="A14" s="47" t="s">
        <v>54</v>
      </c>
      <c r="B14" s="47" t="s">
        <v>61</v>
      </c>
    </row>
    <row r="15" spans="1:2" ht="48" x14ac:dyDescent="0.35">
      <c r="A15" s="47" t="s">
        <v>55</v>
      </c>
      <c r="B15" s="47" t="s">
        <v>62</v>
      </c>
    </row>
    <row r="16" spans="1:2" ht="120" x14ac:dyDescent="0.35">
      <c r="A16" s="47" t="s">
        <v>56</v>
      </c>
      <c r="B16" s="47" t="s">
        <v>36</v>
      </c>
    </row>
    <row r="17" spans="1:2" ht="48" x14ac:dyDescent="0.35">
      <c r="A17" s="47" t="s">
        <v>127</v>
      </c>
      <c r="B17" s="47" t="s">
        <v>128</v>
      </c>
    </row>
    <row r="18" spans="1:2" ht="24" x14ac:dyDescent="0.35">
      <c r="A18" s="47" t="s">
        <v>129</v>
      </c>
      <c r="B18" s="47" t="s">
        <v>130</v>
      </c>
    </row>
    <row r="19" spans="1:2" ht="48" x14ac:dyDescent="0.35">
      <c r="A19" s="47" t="s">
        <v>131</v>
      </c>
      <c r="B19" s="47" t="s">
        <v>132</v>
      </c>
    </row>
    <row r="20" spans="1:2" ht="36" x14ac:dyDescent="0.35">
      <c r="A20" s="47" t="s">
        <v>133</v>
      </c>
      <c r="B20" s="47" t="s">
        <v>134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5"/>
  <sheetViews>
    <sheetView workbookViewId="0">
      <pane ySplit="1" topLeftCell="A2" activePane="bottomLeft" state="frozen"/>
      <selection pane="bottomLeft"/>
    </sheetView>
  </sheetViews>
  <sheetFormatPr defaultRowHeight="14.5" x14ac:dyDescent="0.35"/>
  <cols>
    <col min="1" max="1" width="9.1796875" style="54"/>
    <col min="2" max="2" width="47.453125" style="55" customWidth="1"/>
    <col min="3" max="3" width="5.453125" customWidth="1"/>
    <col min="4" max="4" width="4.7265625" customWidth="1"/>
    <col min="5" max="5" width="4.54296875" customWidth="1"/>
    <col min="6" max="6" width="4.26953125" customWidth="1"/>
    <col min="7" max="7" width="5.1796875" customWidth="1"/>
    <col min="8" max="8" width="4.26953125" customWidth="1"/>
    <col min="9" max="9" width="4.1796875" customWidth="1"/>
    <col min="10" max="10" width="4.7265625" customWidth="1"/>
    <col min="11" max="11" width="4" customWidth="1"/>
    <col min="12" max="12" width="4.453125" customWidth="1"/>
    <col min="13" max="13" width="4.26953125" customWidth="1"/>
    <col min="14" max="14" width="5.453125" customWidth="1"/>
    <col min="15" max="15" width="5.26953125" customWidth="1"/>
    <col min="16" max="16" width="6.26953125" customWidth="1"/>
    <col min="17" max="17" width="5.81640625" customWidth="1"/>
    <col min="18" max="18" width="5.7265625" customWidth="1"/>
    <col min="19" max="19" width="5.54296875" customWidth="1"/>
    <col min="20" max="20" width="5" customWidth="1"/>
    <col min="21" max="21" width="5.54296875" customWidth="1"/>
  </cols>
  <sheetData>
    <row r="1" spans="1:21" ht="212" x14ac:dyDescent="0.35">
      <c r="A1" s="48" t="s">
        <v>137</v>
      </c>
      <c r="B1" s="49" t="s">
        <v>32</v>
      </c>
      <c r="C1" s="50" t="s">
        <v>35</v>
      </c>
      <c r="D1" s="50" t="s">
        <v>45</v>
      </c>
      <c r="E1" s="50" t="s">
        <v>46</v>
      </c>
      <c r="F1" s="50" t="s">
        <v>47</v>
      </c>
      <c r="G1" s="50" t="s">
        <v>48</v>
      </c>
      <c r="H1" s="50" t="s">
        <v>63</v>
      </c>
      <c r="I1" s="50" t="s">
        <v>49</v>
      </c>
      <c r="J1" s="50" t="s">
        <v>50</v>
      </c>
      <c r="K1" s="50" t="s">
        <v>51</v>
      </c>
      <c r="L1" s="50" t="s">
        <v>124</v>
      </c>
      <c r="M1" s="50" t="s">
        <v>52</v>
      </c>
      <c r="N1" s="50" t="s">
        <v>53</v>
      </c>
      <c r="O1" s="50" t="s">
        <v>54</v>
      </c>
      <c r="P1" s="50" t="s">
        <v>55</v>
      </c>
      <c r="Q1" s="50" t="s">
        <v>56</v>
      </c>
      <c r="R1" s="50" t="s">
        <v>127</v>
      </c>
      <c r="S1" s="50" t="s">
        <v>129</v>
      </c>
      <c r="T1" s="50" t="s">
        <v>131</v>
      </c>
      <c r="U1" s="50" t="s">
        <v>133</v>
      </c>
    </row>
    <row r="2" spans="1:21" x14ac:dyDescent="0.35">
      <c r="A2" s="51"/>
      <c r="B2" s="52" t="s">
        <v>138</v>
      </c>
      <c r="C2" s="41"/>
      <c r="D2" s="41"/>
      <c r="E2" s="41"/>
      <c r="F2" s="41"/>
      <c r="G2" s="41"/>
      <c r="H2" s="41"/>
      <c r="I2" s="41"/>
      <c r="J2" s="41"/>
      <c r="K2" s="41"/>
      <c r="L2" s="41"/>
      <c r="M2" s="41"/>
      <c r="N2" s="41"/>
      <c r="O2" s="41"/>
      <c r="P2" s="41"/>
      <c r="Q2" s="41"/>
      <c r="R2" s="41"/>
      <c r="S2" s="41"/>
      <c r="T2" s="41"/>
      <c r="U2" s="41"/>
    </row>
    <row r="3" spans="1:21" x14ac:dyDescent="0.35">
      <c r="A3" s="51">
        <v>1</v>
      </c>
      <c r="B3" s="52" t="s">
        <v>139</v>
      </c>
      <c r="C3" s="53"/>
      <c r="D3" s="53"/>
      <c r="E3" s="53"/>
      <c r="F3" s="53"/>
      <c r="G3" s="53"/>
      <c r="H3" s="53"/>
      <c r="I3" s="53"/>
      <c r="J3" s="53"/>
      <c r="K3" s="53" t="s">
        <v>140</v>
      </c>
      <c r="L3" s="53"/>
      <c r="M3" s="53"/>
      <c r="N3" s="53"/>
      <c r="O3" s="53" t="s">
        <v>140</v>
      </c>
      <c r="P3" s="53"/>
      <c r="Q3" s="53" t="s">
        <v>140</v>
      </c>
      <c r="R3" s="53"/>
      <c r="S3" s="53" t="s">
        <v>140</v>
      </c>
      <c r="T3" s="53"/>
      <c r="U3" s="53" t="s">
        <v>140</v>
      </c>
    </row>
    <row r="4" spans="1:21" x14ac:dyDescent="0.35">
      <c r="A4" s="51">
        <v>2</v>
      </c>
      <c r="B4" s="52" t="s">
        <v>141</v>
      </c>
      <c r="C4" s="53" t="s">
        <v>140</v>
      </c>
      <c r="D4" s="53" t="s">
        <v>140</v>
      </c>
      <c r="E4" s="53" t="s">
        <v>140</v>
      </c>
      <c r="F4" s="53" t="s">
        <v>140</v>
      </c>
      <c r="G4" s="53" t="s">
        <v>140</v>
      </c>
      <c r="H4" s="53" t="s">
        <v>140</v>
      </c>
      <c r="I4" s="53" t="s">
        <v>140</v>
      </c>
      <c r="J4" s="53" t="s">
        <v>140</v>
      </c>
      <c r="K4" s="53" t="s">
        <v>140</v>
      </c>
      <c r="L4" s="53"/>
      <c r="M4" s="53" t="s">
        <v>140</v>
      </c>
      <c r="N4" s="53" t="s">
        <v>140</v>
      </c>
      <c r="O4" s="53" t="s">
        <v>140</v>
      </c>
      <c r="P4" s="53" t="s">
        <v>140</v>
      </c>
      <c r="Q4" s="53"/>
      <c r="R4" s="53" t="s">
        <v>140</v>
      </c>
      <c r="S4" s="53" t="s">
        <v>140</v>
      </c>
      <c r="T4" s="53" t="s">
        <v>140</v>
      </c>
      <c r="U4" s="53"/>
    </row>
    <row r="5" spans="1:21" x14ac:dyDescent="0.35">
      <c r="A5" s="51">
        <v>3</v>
      </c>
      <c r="B5" s="52" t="s">
        <v>142</v>
      </c>
      <c r="C5" s="53"/>
      <c r="D5" s="53"/>
      <c r="E5" s="53"/>
      <c r="F5" s="53"/>
      <c r="G5" s="53"/>
      <c r="H5" s="53"/>
      <c r="I5" s="53"/>
      <c r="J5" s="53"/>
      <c r="K5" s="53" t="s">
        <v>140</v>
      </c>
      <c r="L5" s="53"/>
      <c r="M5" s="53" t="s">
        <v>140</v>
      </c>
      <c r="N5" s="53" t="s">
        <v>140</v>
      </c>
      <c r="O5" s="53" t="s">
        <v>140</v>
      </c>
      <c r="P5" s="53" t="s">
        <v>140</v>
      </c>
      <c r="Q5" s="53" t="s">
        <v>140</v>
      </c>
      <c r="R5" s="53" t="s">
        <v>140</v>
      </c>
      <c r="S5" s="53"/>
      <c r="T5" s="53" t="s">
        <v>140</v>
      </c>
      <c r="U5" s="53"/>
    </row>
    <row r="6" spans="1:21" x14ac:dyDescent="0.35">
      <c r="A6" s="51">
        <v>4</v>
      </c>
      <c r="B6" s="52" t="s">
        <v>143</v>
      </c>
      <c r="C6" s="53"/>
      <c r="D6" s="53"/>
      <c r="E6" s="53"/>
      <c r="F6" s="53"/>
      <c r="G6" s="53"/>
      <c r="H6" s="53"/>
      <c r="I6" s="53"/>
      <c r="J6" s="53"/>
      <c r="K6" s="53" t="s">
        <v>140</v>
      </c>
      <c r="L6" s="53"/>
      <c r="M6" s="53" t="s">
        <v>140</v>
      </c>
      <c r="N6" s="53" t="s">
        <v>140</v>
      </c>
      <c r="O6" s="53" t="s">
        <v>140</v>
      </c>
      <c r="P6" s="53"/>
      <c r="Q6" s="53" t="s">
        <v>140</v>
      </c>
      <c r="R6" s="53"/>
      <c r="S6" s="53" t="s">
        <v>140</v>
      </c>
      <c r="T6" s="53" t="s">
        <v>140</v>
      </c>
      <c r="U6" s="53"/>
    </row>
    <row r="7" spans="1:21" x14ac:dyDescent="0.35">
      <c r="A7" s="51">
        <v>5</v>
      </c>
      <c r="B7" s="52" t="s">
        <v>144</v>
      </c>
      <c r="C7" s="53" t="s">
        <v>140</v>
      </c>
      <c r="D7" s="53" t="s">
        <v>140</v>
      </c>
      <c r="E7" s="53" t="s">
        <v>140</v>
      </c>
      <c r="F7" s="53" t="s">
        <v>140</v>
      </c>
      <c r="G7" s="53" t="s">
        <v>140</v>
      </c>
      <c r="H7" s="53"/>
      <c r="I7" s="53"/>
      <c r="J7" s="53"/>
      <c r="K7" s="53"/>
      <c r="L7" s="53" t="s">
        <v>140</v>
      </c>
      <c r="M7" s="53" t="s">
        <v>140</v>
      </c>
      <c r="N7" s="53"/>
      <c r="O7" s="53"/>
      <c r="P7" s="53" t="s">
        <v>140</v>
      </c>
      <c r="Q7" s="53"/>
      <c r="R7" s="53"/>
      <c r="S7" s="53"/>
      <c r="T7" s="53"/>
      <c r="U7" s="53"/>
    </row>
    <row r="8" spans="1:21" x14ac:dyDescent="0.35">
      <c r="A8" s="51">
        <v>6</v>
      </c>
      <c r="B8" s="52" t="s">
        <v>145</v>
      </c>
      <c r="C8" s="53"/>
      <c r="D8" s="53"/>
      <c r="E8" s="53"/>
      <c r="F8" s="53"/>
      <c r="G8" s="53"/>
      <c r="H8" s="53"/>
      <c r="I8" s="53"/>
      <c r="J8" s="53"/>
      <c r="K8" s="53"/>
      <c r="L8" s="53"/>
      <c r="M8" s="53" t="s">
        <v>140</v>
      </c>
      <c r="N8" s="53"/>
      <c r="O8" s="53"/>
      <c r="P8" s="53"/>
      <c r="Q8" s="53"/>
      <c r="R8" s="53" t="s">
        <v>140</v>
      </c>
      <c r="S8" s="53"/>
      <c r="T8" s="53"/>
      <c r="U8" s="53"/>
    </row>
    <row r="9" spans="1:21" x14ac:dyDescent="0.35">
      <c r="A9" s="51">
        <v>7</v>
      </c>
      <c r="B9" s="52" t="s">
        <v>146</v>
      </c>
      <c r="C9" s="53"/>
      <c r="D9" s="53"/>
      <c r="E9" s="53"/>
      <c r="F9" s="53"/>
      <c r="G9" s="53"/>
      <c r="H9" s="53"/>
      <c r="I9" s="53"/>
      <c r="J9" s="53"/>
      <c r="K9" s="53" t="s">
        <v>140</v>
      </c>
      <c r="L9" s="53"/>
      <c r="M9" s="53" t="s">
        <v>140</v>
      </c>
      <c r="N9" s="53" t="s">
        <v>140</v>
      </c>
      <c r="O9" s="53" t="s">
        <v>140</v>
      </c>
      <c r="P9" s="53" t="s">
        <v>140</v>
      </c>
      <c r="Q9" s="53" t="s">
        <v>140</v>
      </c>
      <c r="R9" s="53"/>
      <c r="S9" s="53" t="s">
        <v>140</v>
      </c>
      <c r="T9" s="53" t="s">
        <v>140</v>
      </c>
      <c r="U9" s="53"/>
    </row>
    <row r="10" spans="1:21" x14ac:dyDescent="0.35">
      <c r="A10" s="51">
        <v>8</v>
      </c>
      <c r="B10" s="52" t="s">
        <v>147</v>
      </c>
      <c r="C10" s="53" t="s">
        <v>140</v>
      </c>
      <c r="D10" s="53" t="s">
        <v>140</v>
      </c>
      <c r="E10" s="53" t="s">
        <v>140</v>
      </c>
      <c r="F10" s="53" t="s">
        <v>140</v>
      </c>
      <c r="G10" s="53" t="s">
        <v>140</v>
      </c>
      <c r="H10" s="53" t="s">
        <v>140</v>
      </c>
      <c r="I10" s="53" t="s">
        <v>140</v>
      </c>
      <c r="J10" s="53" t="s">
        <v>140</v>
      </c>
      <c r="K10" s="53" t="s">
        <v>140</v>
      </c>
      <c r="L10" s="53"/>
      <c r="M10" s="53" t="s">
        <v>140</v>
      </c>
      <c r="N10" s="53"/>
      <c r="O10" s="53" t="s">
        <v>140</v>
      </c>
      <c r="P10" s="53" t="s">
        <v>140</v>
      </c>
      <c r="Q10" s="53" t="s">
        <v>140</v>
      </c>
      <c r="R10" s="53" t="s">
        <v>140</v>
      </c>
      <c r="S10" s="53" t="s">
        <v>140</v>
      </c>
      <c r="T10" s="53" t="s">
        <v>140</v>
      </c>
      <c r="U10" s="53"/>
    </row>
    <row r="11" spans="1:21" x14ac:dyDescent="0.35">
      <c r="A11" s="51">
        <v>9</v>
      </c>
      <c r="B11" s="52" t="s">
        <v>148</v>
      </c>
      <c r="C11" s="53" t="s">
        <v>140</v>
      </c>
      <c r="D11" s="53" t="s">
        <v>140</v>
      </c>
      <c r="E11" s="53" t="s">
        <v>140</v>
      </c>
      <c r="F11" s="53" t="s">
        <v>140</v>
      </c>
      <c r="G11" s="53" t="s">
        <v>140</v>
      </c>
      <c r="H11" s="53" t="s">
        <v>140</v>
      </c>
      <c r="I11" s="53" t="s">
        <v>140</v>
      </c>
      <c r="J11" s="53" t="s">
        <v>140</v>
      </c>
      <c r="K11" s="53" t="s">
        <v>140</v>
      </c>
      <c r="L11" s="53" t="s">
        <v>140</v>
      </c>
      <c r="M11" s="53" t="s">
        <v>140</v>
      </c>
      <c r="N11" s="53" t="s">
        <v>140</v>
      </c>
      <c r="O11" s="53"/>
      <c r="P11" s="53" t="s">
        <v>140</v>
      </c>
      <c r="Q11" s="53"/>
      <c r="R11" s="53" t="s">
        <v>140</v>
      </c>
      <c r="S11" s="53"/>
      <c r="T11" s="53" t="s">
        <v>140</v>
      </c>
      <c r="U11" s="53"/>
    </row>
    <row r="12" spans="1:21" x14ac:dyDescent="0.35">
      <c r="A12" s="51">
        <v>10</v>
      </c>
      <c r="B12" s="52" t="s">
        <v>149</v>
      </c>
      <c r="C12" s="53" t="s">
        <v>140</v>
      </c>
      <c r="D12" s="53" t="s">
        <v>140</v>
      </c>
      <c r="E12" s="53" t="s">
        <v>140</v>
      </c>
      <c r="F12" s="53" t="s">
        <v>140</v>
      </c>
      <c r="G12" s="53" t="s">
        <v>140</v>
      </c>
      <c r="H12" s="53"/>
      <c r="I12" s="53"/>
      <c r="J12" s="53"/>
      <c r="K12" s="53"/>
      <c r="L12" s="53" t="s">
        <v>140</v>
      </c>
      <c r="M12" s="53"/>
      <c r="N12" s="53"/>
      <c r="O12" s="53"/>
      <c r="P12" s="53" t="s">
        <v>140</v>
      </c>
      <c r="Q12" s="53"/>
      <c r="R12" s="53"/>
      <c r="S12" s="53"/>
      <c r="T12" s="53"/>
      <c r="U12" s="53"/>
    </row>
    <row r="13" spans="1:21" x14ac:dyDescent="0.35">
      <c r="A13" s="51">
        <v>11</v>
      </c>
      <c r="B13" s="52" t="s">
        <v>150</v>
      </c>
      <c r="C13" s="53" t="s">
        <v>140</v>
      </c>
      <c r="D13" s="53" t="s">
        <v>140</v>
      </c>
      <c r="E13" s="53" t="s">
        <v>140</v>
      </c>
      <c r="F13" s="53" t="s">
        <v>140</v>
      </c>
      <c r="G13" s="53" t="s">
        <v>140</v>
      </c>
      <c r="H13" s="53" t="s">
        <v>140</v>
      </c>
      <c r="I13" s="53" t="s">
        <v>140</v>
      </c>
      <c r="J13" s="53" t="s">
        <v>140</v>
      </c>
      <c r="K13" s="53" t="s">
        <v>140</v>
      </c>
      <c r="L13" s="53"/>
      <c r="M13" s="53" t="s">
        <v>140</v>
      </c>
      <c r="N13" s="53"/>
      <c r="O13" s="53"/>
      <c r="P13" s="53" t="s">
        <v>140</v>
      </c>
      <c r="Q13" s="53"/>
      <c r="R13" s="53" t="s">
        <v>140</v>
      </c>
      <c r="S13" s="53"/>
      <c r="T13" s="53"/>
      <c r="U13" s="53"/>
    </row>
    <row r="14" spans="1:21" x14ac:dyDescent="0.35">
      <c r="A14" s="51">
        <v>12</v>
      </c>
      <c r="B14" s="52" t="s">
        <v>151</v>
      </c>
      <c r="C14" s="53" t="s">
        <v>140</v>
      </c>
      <c r="D14" s="53" t="s">
        <v>140</v>
      </c>
      <c r="E14" s="53" t="s">
        <v>140</v>
      </c>
      <c r="F14" s="53" t="s">
        <v>140</v>
      </c>
      <c r="G14" s="53" t="s">
        <v>140</v>
      </c>
      <c r="H14" s="53" t="s">
        <v>140</v>
      </c>
      <c r="I14" s="53" t="s">
        <v>140</v>
      </c>
      <c r="J14" s="53" t="s">
        <v>140</v>
      </c>
      <c r="K14" s="53" t="s">
        <v>140</v>
      </c>
      <c r="L14" s="53"/>
      <c r="M14" s="53"/>
      <c r="N14" s="53"/>
      <c r="O14" s="53"/>
      <c r="P14" s="53" t="s">
        <v>140</v>
      </c>
      <c r="Q14" s="53"/>
      <c r="R14" s="53" t="s">
        <v>140</v>
      </c>
      <c r="S14" s="53"/>
      <c r="T14" s="53"/>
      <c r="U14" s="53"/>
    </row>
    <row r="15" spans="1:21" x14ac:dyDescent="0.35">
      <c r="A15" s="51">
        <v>13</v>
      </c>
      <c r="B15" s="52" t="s">
        <v>152</v>
      </c>
      <c r="C15" s="53"/>
      <c r="D15" s="53"/>
      <c r="E15" s="53"/>
      <c r="F15" s="53"/>
      <c r="G15" s="53"/>
      <c r="H15" s="53" t="s">
        <v>140</v>
      </c>
      <c r="I15" s="53" t="s">
        <v>140</v>
      </c>
      <c r="J15" s="53" t="s">
        <v>140</v>
      </c>
      <c r="K15" s="53" t="s">
        <v>140</v>
      </c>
      <c r="L15" s="53"/>
      <c r="M15" s="53" t="s">
        <v>140</v>
      </c>
      <c r="N15" s="53"/>
      <c r="O15" s="53"/>
      <c r="P15" s="53" t="s">
        <v>140</v>
      </c>
      <c r="Q15" s="53" t="s">
        <v>140</v>
      </c>
      <c r="R15" s="53" t="s">
        <v>140</v>
      </c>
      <c r="S15" s="53" t="s">
        <v>140</v>
      </c>
      <c r="T15" s="53"/>
      <c r="U15" s="53" t="s">
        <v>140</v>
      </c>
    </row>
    <row r="16" spans="1:21" ht="29" x14ac:dyDescent="0.35">
      <c r="A16" s="51">
        <v>14</v>
      </c>
      <c r="B16" s="52" t="s">
        <v>153</v>
      </c>
      <c r="C16" s="53"/>
      <c r="D16" s="53"/>
      <c r="E16" s="53"/>
      <c r="F16" s="53"/>
      <c r="G16" s="53"/>
      <c r="H16" s="53"/>
      <c r="I16" s="53" t="s">
        <v>140</v>
      </c>
      <c r="J16" s="53"/>
      <c r="K16" s="53" t="s">
        <v>140</v>
      </c>
      <c r="L16" s="53"/>
      <c r="M16" s="53" t="s">
        <v>140</v>
      </c>
      <c r="N16" s="53"/>
      <c r="O16" s="53"/>
      <c r="P16" s="53" t="s">
        <v>140</v>
      </c>
      <c r="Q16" s="53" t="s">
        <v>140</v>
      </c>
      <c r="R16" s="53" t="s">
        <v>140</v>
      </c>
      <c r="S16" s="53" t="s">
        <v>140</v>
      </c>
      <c r="T16" s="53" t="s">
        <v>140</v>
      </c>
      <c r="U16" s="53"/>
    </row>
    <row r="17" spans="1:21" x14ac:dyDescent="0.35">
      <c r="A17" s="51">
        <v>15</v>
      </c>
      <c r="B17" s="52" t="s">
        <v>154</v>
      </c>
      <c r="C17" s="53" t="s">
        <v>140</v>
      </c>
      <c r="D17" s="53" t="s">
        <v>140</v>
      </c>
      <c r="E17" s="53" t="s">
        <v>140</v>
      </c>
      <c r="F17" s="53" t="s">
        <v>140</v>
      </c>
      <c r="G17" s="53" t="s">
        <v>140</v>
      </c>
      <c r="H17" s="53" t="s">
        <v>140</v>
      </c>
      <c r="I17" s="53" t="s">
        <v>140</v>
      </c>
      <c r="J17" s="53" t="s">
        <v>140</v>
      </c>
      <c r="K17" s="53" t="s">
        <v>140</v>
      </c>
      <c r="L17" s="53"/>
      <c r="M17" s="53" t="s">
        <v>140</v>
      </c>
      <c r="N17" s="53" t="s">
        <v>140</v>
      </c>
      <c r="O17" s="53"/>
      <c r="P17" s="53" t="s">
        <v>140</v>
      </c>
      <c r="Q17" s="53"/>
      <c r="R17" s="53"/>
      <c r="S17" s="53"/>
      <c r="T17" s="53"/>
      <c r="U17" s="53"/>
    </row>
    <row r="18" spans="1:21" x14ac:dyDescent="0.35">
      <c r="A18" s="51">
        <v>16</v>
      </c>
      <c r="B18" s="52" t="s">
        <v>155</v>
      </c>
      <c r="C18" s="53" t="s">
        <v>140</v>
      </c>
      <c r="D18" s="53" t="s">
        <v>140</v>
      </c>
      <c r="E18" s="53" t="s">
        <v>140</v>
      </c>
      <c r="F18" s="53" t="s">
        <v>140</v>
      </c>
      <c r="G18" s="53" t="s">
        <v>140</v>
      </c>
      <c r="H18" s="53" t="s">
        <v>140</v>
      </c>
      <c r="I18" s="53" t="s">
        <v>140</v>
      </c>
      <c r="J18" s="53" t="s">
        <v>140</v>
      </c>
      <c r="K18" s="53" t="s">
        <v>140</v>
      </c>
      <c r="L18" s="53"/>
      <c r="M18" s="53" t="s">
        <v>140</v>
      </c>
      <c r="N18" s="53"/>
      <c r="O18" s="53"/>
      <c r="P18" s="53" t="s">
        <v>140</v>
      </c>
      <c r="Q18" s="53"/>
      <c r="R18" s="53" t="s">
        <v>140</v>
      </c>
      <c r="S18" s="53"/>
      <c r="T18" s="53"/>
      <c r="U18" s="53"/>
    </row>
    <row r="19" spans="1:21" x14ac:dyDescent="0.35">
      <c r="A19" s="51">
        <v>17</v>
      </c>
      <c r="B19" s="52" t="s">
        <v>156</v>
      </c>
      <c r="C19" s="53" t="s">
        <v>140</v>
      </c>
      <c r="D19" s="53" t="s">
        <v>140</v>
      </c>
      <c r="E19" s="53" t="s">
        <v>140</v>
      </c>
      <c r="F19" s="53" t="s">
        <v>140</v>
      </c>
      <c r="G19" s="53"/>
      <c r="H19" s="53" t="s">
        <v>140</v>
      </c>
      <c r="I19" s="53"/>
      <c r="J19" s="53" t="s">
        <v>140</v>
      </c>
      <c r="K19" s="53" t="s">
        <v>140</v>
      </c>
      <c r="L19" s="53"/>
      <c r="M19" s="53"/>
      <c r="N19" s="53" t="s">
        <v>140</v>
      </c>
      <c r="O19" s="53"/>
      <c r="P19" s="53"/>
      <c r="Q19" s="53"/>
      <c r="R19" s="53"/>
      <c r="S19" s="53"/>
      <c r="T19" s="53"/>
      <c r="U19" s="53"/>
    </row>
    <row r="20" spans="1:21" x14ac:dyDescent="0.35">
      <c r="A20" s="51">
        <v>18</v>
      </c>
      <c r="B20" s="52" t="s">
        <v>157</v>
      </c>
      <c r="C20" s="53" t="s">
        <v>140</v>
      </c>
      <c r="D20" s="53" t="s">
        <v>140</v>
      </c>
      <c r="E20" s="53" t="s">
        <v>140</v>
      </c>
      <c r="F20" s="53" t="s">
        <v>140</v>
      </c>
      <c r="G20" s="53" t="s">
        <v>140</v>
      </c>
      <c r="H20" s="53" t="s">
        <v>140</v>
      </c>
      <c r="I20" s="53" t="s">
        <v>140</v>
      </c>
      <c r="J20" s="53" t="s">
        <v>140</v>
      </c>
      <c r="K20" s="53" t="s">
        <v>140</v>
      </c>
      <c r="L20" s="53"/>
      <c r="M20" s="53"/>
      <c r="N20" s="53"/>
      <c r="O20" s="53"/>
      <c r="P20" s="53" t="s">
        <v>140</v>
      </c>
      <c r="Q20" s="53"/>
      <c r="R20" s="53"/>
      <c r="S20" s="53"/>
      <c r="T20" s="53"/>
      <c r="U20" s="53" t="s">
        <v>140</v>
      </c>
    </row>
    <row r="21" spans="1:21" ht="29" x14ac:dyDescent="0.35">
      <c r="A21" s="51">
        <v>19</v>
      </c>
      <c r="B21" s="52" t="s">
        <v>158</v>
      </c>
      <c r="C21" s="53" t="s">
        <v>140</v>
      </c>
      <c r="D21" s="53" t="s">
        <v>140</v>
      </c>
      <c r="E21" s="53" t="s">
        <v>140</v>
      </c>
      <c r="F21" s="53" t="s">
        <v>140</v>
      </c>
      <c r="G21" s="53" t="s">
        <v>140</v>
      </c>
      <c r="H21" s="53" t="s">
        <v>140</v>
      </c>
      <c r="I21" s="53" t="s">
        <v>140</v>
      </c>
      <c r="J21" s="53" t="s">
        <v>140</v>
      </c>
      <c r="K21" s="53" t="s">
        <v>140</v>
      </c>
      <c r="L21" s="53"/>
      <c r="M21" s="53"/>
      <c r="N21" s="53"/>
      <c r="O21" s="53"/>
      <c r="P21" s="53"/>
      <c r="Q21" s="53"/>
      <c r="R21" s="53"/>
      <c r="S21" s="53"/>
      <c r="T21" s="53"/>
      <c r="U21" s="53"/>
    </row>
    <row r="22" spans="1:21" x14ac:dyDescent="0.35">
      <c r="A22" s="51">
        <v>20</v>
      </c>
      <c r="B22" s="52" t="s">
        <v>159</v>
      </c>
      <c r="C22" s="53" t="s">
        <v>140</v>
      </c>
      <c r="D22" s="53" t="s">
        <v>140</v>
      </c>
      <c r="E22" s="53" t="s">
        <v>140</v>
      </c>
      <c r="F22" s="53" t="s">
        <v>140</v>
      </c>
      <c r="G22" s="53"/>
      <c r="H22" s="53"/>
      <c r="I22" s="53"/>
      <c r="J22" s="53"/>
      <c r="K22" s="53"/>
      <c r="L22" s="53" t="s">
        <v>140</v>
      </c>
      <c r="M22" s="53"/>
      <c r="N22" s="53"/>
      <c r="O22" s="53"/>
      <c r="P22" s="53" t="s">
        <v>140</v>
      </c>
      <c r="Q22" s="53"/>
      <c r="R22" s="53"/>
      <c r="S22" s="53"/>
      <c r="T22" s="53"/>
      <c r="U22" s="53"/>
    </row>
    <row r="23" spans="1:21" x14ac:dyDescent="0.35">
      <c r="A23" s="51">
        <v>21</v>
      </c>
      <c r="B23" s="52" t="s">
        <v>160</v>
      </c>
      <c r="C23" s="53"/>
      <c r="D23" s="53"/>
      <c r="E23" s="53"/>
      <c r="F23" s="53"/>
      <c r="G23" s="53"/>
      <c r="H23" s="53"/>
      <c r="I23" s="53"/>
      <c r="J23" s="53"/>
      <c r="K23" s="53" t="s">
        <v>140</v>
      </c>
      <c r="L23" s="53"/>
      <c r="M23" s="53"/>
      <c r="N23" s="53"/>
      <c r="O23" s="53"/>
      <c r="P23" s="53"/>
      <c r="Q23" s="53"/>
      <c r="R23" s="53" t="s">
        <v>140</v>
      </c>
      <c r="S23" s="53"/>
      <c r="T23" s="53"/>
      <c r="U23" s="53" t="s">
        <v>140</v>
      </c>
    </row>
    <row r="24" spans="1:21" x14ac:dyDescent="0.35">
      <c r="A24" s="51">
        <v>22</v>
      </c>
      <c r="B24" s="52" t="s">
        <v>161</v>
      </c>
      <c r="C24" s="53"/>
      <c r="D24" s="53"/>
      <c r="E24" s="53"/>
      <c r="F24" s="53"/>
      <c r="G24" s="53"/>
      <c r="H24" s="53"/>
      <c r="I24" s="53" t="s">
        <v>140</v>
      </c>
      <c r="J24" s="53" t="s">
        <v>140</v>
      </c>
      <c r="K24" s="53" t="s">
        <v>140</v>
      </c>
      <c r="L24" s="53"/>
      <c r="M24" s="53"/>
      <c r="N24" s="53"/>
      <c r="O24" s="53"/>
      <c r="P24" s="53"/>
      <c r="Q24" s="53" t="s">
        <v>140</v>
      </c>
      <c r="R24" s="53" t="s">
        <v>140</v>
      </c>
      <c r="S24" s="53"/>
      <c r="T24" s="53"/>
      <c r="U24" s="53" t="s">
        <v>140</v>
      </c>
    </row>
    <row r="25" spans="1:21" x14ac:dyDescent="0.35">
      <c r="A25" s="51">
        <v>23</v>
      </c>
      <c r="B25" s="52" t="s">
        <v>162</v>
      </c>
      <c r="C25" s="53" t="s">
        <v>140</v>
      </c>
      <c r="D25" s="53" t="s">
        <v>140</v>
      </c>
      <c r="E25" s="53" t="s">
        <v>140</v>
      </c>
      <c r="F25" s="53" t="s">
        <v>140</v>
      </c>
      <c r="G25" s="53"/>
      <c r="H25" s="53"/>
      <c r="I25" s="53" t="s">
        <v>140</v>
      </c>
      <c r="J25" s="53" t="s">
        <v>140</v>
      </c>
      <c r="K25" s="53"/>
      <c r="L25" s="53"/>
      <c r="M25" s="53"/>
      <c r="N25" s="53"/>
      <c r="O25" s="53"/>
      <c r="P25" s="53" t="s">
        <v>140</v>
      </c>
      <c r="Q25" s="53" t="s">
        <v>140</v>
      </c>
      <c r="R25" s="53" t="s">
        <v>140</v>
      </c>
      <c r="S25" s="53"/>
      <c r="T25" s="53"/>
      <c r="U25" s="53" t="s">
        <v>140</v>
      </c>
    </row>
    <row r="26" spans="1:21" x14ac:dyDescent="0.35">
      <c r="A26" s="51">
        <v>24</v>
      </c>
      <c r="B26" s="52" t="s">
        <v>163</v>
      </c>
      <c r="C26" s="53" t="s">
        <v>140</v>
      </c>
      <c r="D26" s="53" t="s">
        <v>140</v>
      </c>
      <c r="E26" s="53" t="s">
        <v>140</v>
      </c>
      <c r="F26" s="53" t="s">
        <v>140</v>
      </c>
      <c r="G26" s="53" t="s">
        <v>140</v>
      </c>
      <c r="H26" s="53" t="s">
        <v>140</v>
      </c>
      <c r="I26" s="53"/>
      <c r="J26" s="53"/>
      <c r="K26" s="53"/>
      <c r="L26" s="53" t="s">
        <v>140</v>
      </c>
      <c r="M26" s="53" t="s">
        <v>140</v>
      </c>
      <c r="N26" s="53"/>
      <c r="O26" s="53" t="s">
        <v>140</v>
      </c>
      <c r="P26" s="53" t="s">
        <v>140</v>
      </c>
      <c r="Q26" s="53"/>
      <c r="R26" s="53"/>
      <c r="S26" s="53"/>
      <c r="T26" s="53"/>
      <c r="U26" s="53"/>
    </row>
    <row r="27" spans="1:21" ht="29" x14ac:dyDescent="0.35">
      <c r="A27" s="51">
        <v>25</v>
      </c>
      <c r="B27" s="52" t="s">
        <v>164</v>
      </c>
      <c r="C27" s="53" t="s">
        <v>140</v>
      </c>
      <c r="D27" s="53" t="s">
        <v>140</v>
      </c>
      <c r="E27" s="53" t="s">
        <v>140</v>
      </c>
      <c r="F27" s="53" t="s">
        <v>140</v>
      </c>
      <c r="G27" s="53" t="s">
        <v>140</v>
      </c>
      <c r="H27" s="53" t="s">
        <v>140</v>
      </c>
      <c r="I27" s="53"/>
      <c r="J27" s="53"/>
      <c r="K27" s="53"/>
      <c r="L27" s="53" t="s">
        <v>140</v>
      </c>
      <c r="M27" s="53" t="s">
        <v>140</v>
      </c>
      <c r="N27" s="53"/>
      <c r="O27" s="53" t="s">
        <v>140</v>
      </c>
      <c r="P27" s="53" t="s">
        <v>140</v>
      </c>
      <c r="Q27" s="53"/>
      <c r="R27" s="53"/>
      <c r="S27" s="53"/>
      <c r="T27" s="53" t="s">
        <v>140</v>
      </c>
      <c r="U27" s="53"/>
    </row>
    <row r="28" spans="1:21" x14ac:dyDescent="0.35">
      <c r="A28" s="51">
        <v>26</v>
      </c>
      <c r="B28" s="52" t="s">
        <v>165</v>
      </c>
      <c r="C28" s="53" t="s">
        <v>140</v>
      </c>
      <c r="D28" s="53" t="s">
        <v>140</v>
      </c>
      <c r="E28" s="53" t="s">
        <v>140</v>
      </c>
      <c r="F28" s="53" t="s">
        <v>140</v>
      </c>
      <c r="G28" s="53"/>
      <c r="H28" s="53" t="s">
        <v>140</v>
      </c>
      <c r="I28" s="53"/>
      <c r="J28" s="53"/>
      <c r="K28" s="53" t="s">
        <v>140</v>
      </c>
      <c r="L28" s="53"/>
      <c r="M28" s="53"/>
      <c r="N28" s="53" t="s">
        <v>140</v>
      </c>
      <c r="O28" s="53"/>
      <c r="P28" s="53"/>
      <c r="Q28" s="53"/>
      <c r="R28" s="53"/>
      <c r="S28" s="53" t="s">
        <v>140</v>
      </c>
      <c r="T28" s="53" t="s">
        <v>140</v>
      </c>
      <c r="U28" s="53"/>
    </row>
    <row r="29" spans="1:21" x14ac:dyDescent="0.35">
      <c r="A29" s="51">
        <v>27</v>
      </c>
      <c r="B29" s="52" t="s">
        <v>166</v>
      </c>
      <c r="C29" s="53"/>
      <c r="D29" s="53"/>
      <c r="E29" s="53"/>
      <c r="F29" s="53"/>
      <c r="G29" s="53"/>
      <c r="H29" s="53"/>
      <c r="I29" s="53"/>
      <c r="J29" s="53"/>
      <c r="K29" s="53" t="s">
        <v>140</v>
      </c>
      <c r="L29" s="53"/>
      <c r="M29" s="53"/>
      <c r="N29" s="53"/>
      <c r="O29" s="53"/>
      <c r="P29" s="53" t="s">
        <v>140</v>
      </c>
      <c r="Q29" s="53" t="s">
        <v>140</v>
      </c>
      <c r="R29" s="53" t="s">
        <v>140</v>
      </c>
      <c r="S29" s="53" t="s">
        <v>140</v>
      </c>
      <c r="T29" s="53"/>
      <c r="U29" s="53" t="s">
        <v>140</v>
      </c>
    </row>
    <row r="30" spans="1:21" x14ac:dyDescent="0.35">
      <c r="A30" s="51">
        <v>28</v>
      </c>
      <c r="B30" s="52" t="s">
        <v>167</v>
      </c>
      <c r="C30" s="53"/>
      <c r="D30" s="53"/>
      <c r="E30" s="53"/>
      <c r="F30" s="53"/>
      <c r="G30" s="53"/>
      <c r="H30" s="53"/>
      <c r="I30" s="53"/>
      <c r="J30" s="53"/>
      <c r="K30" s="53" t="s">
        <v>140</v>
      </c>
      <c r="L30" s="53"/>
      <c r="M30" s="53"/>
      <c r="N30" s="53"/>
      <c r="O30" s="53" t="s">
        <v>140</v>
      </c>
      <c r="P30" s="53" t="s">
        <v>140</v>
      </c>
      <c r="Q30" s="53" t="s">
        <v>140</v>
      </c>
      <c r="R30" s="53" t="s">
        <v>140</v>
      </c>
      <c r="S30" s="53" t="s">
        <v>140</v>
      </c>
      <c r="T30" s="53" t="s">
        <v>140</v>
      </c>
      <c r="U30" s="53"/>
    </row>
    <row r="31" spans="1:21" x14ac:dyDescent="0.35">
      <c r="A31" s="51">
        <v>29</v>
      </c>
      <c r="B31" s="52" t="s">
        <v>168</v>
      </c>
      <c r="C31" s="53" t="s">
        <v>140</v>
      </c>
      <c r="D31" s="53" t="s">
        <v>140</v>
      </c>
      <c r="E31" s="53" t="s">
        <v>140</v>
      </c>
      <c r="F31" s="53" t="s">
        <v>140</v>
      </c>
      <c r="G31" s="53"/>
      <c r="H31" s="53"/>
      <c r="I31" s="53" t="s">
        <v>140</v>
      </c>
      <c r="J31" s="53"/>
      <c r="K31" s="53" t="s">
        <v>140</v>
      </c>
      <c r="L31" s="53"/>
      <c r="M31" s="53"/>
      <c r="N31" s="53" t="s">
        <v>140</v>
      </c>
      <c r="O31" s="53" t="s">
        <v>140</v>
      </c>
      <c r="P31" s="53" t="s">
        <v>140</v>
      </c>
      <c r="Q31" s="53" t="s">
        <v>140</v>
      </c>
      <c r="R31" s="53" t="s">
        <v>140</v>
      </c>
      <c r="S31" s="53" t="s">
        <v>140</v>
      </c>
      <c r="T31" s="53"/>
      <c r="U31" s="53"/>
    </row>
    <row r="32" spans="1:21" x14ac:dyDescent="0.35">
      <c r="A32" s="51">
        <v>30</v>
      </c>
      <c r="B32" s="52" t="s">
        <v>169</v>
      </c>
      <c r="C32" s="53"/>
      <c r="D32" s="53"/>
      <c r="E32" s="53"/>
      <c r="F32" s="53"/>
      <c r="G32" s="53"/>
      <c r="H32" s="53"/>
      <c r="I32" s="53"/>
      <c r="J32" s="53"/>
      <c r="K32" s="53"/>
      <c r="L32" s="53"/>
      <c r="M32" s="53"/>
      <c r="N32" s="53"/>
      <c r="O32" s="53"/>
      <c r="P32" s="53" t="s">
        <v>140</v>
      </c>
      <c r="Q32" s="53"/>
      <c r="R32" s="53"/>
      <c r="S32" s="53"/>
      <c r="T32" s="53" t="s">
        <v>140</v>
      </c>
      <c r="U32" s="53"/>
    </row>
    <row r="33" spans="1:21" x14ac:dyDescent="0.35">
      <c r="A33" s="51">
        <v>31</v>
      </c>
      <c r="B33" s="52" t="s">
        <v>170</v>
      </c>
      <c r="C33" s="53"/>
      <c r="D33" s="53"/>
      <c r="E33" s="53"/>
      <c r="F33" s="53"/>
      <c r="G33" s="53"/>
      <c r="H33" s="53"/>
      <c r="I33" s="53"/>
      <c r="J33" s="53"/>
      <c r="K33" s="53"/>
      <c r="L33" s="53"/>
      <c r="M33" s="53"/>
      <c r="N33" s="53"/>
      <c r="O33" s="53"/>
      <c r="P33" s="53" t="s">
        <v>140</v>
      </c>
      <c r="Q33" s="53"/>
      <c r="R33" s="53"/>
      <c r="S33" s="53"/>
      <c r="T33" s="53"/>
      <c r="U33" s="53"/>
    </row>
    <row r="34" spans="1:21" x14ac:dyDescent="0.35">
      <c r="A34" s="51">
        <v>32</v>
      </c>
      <c r="B34" s="52" t="s">
        <v>171</v>
      </c>
      <c r="C34" s="53"/>
      <c r="D34" s="53"/>
      <c r="E34" s="53"/>
      <c r="F34" s="53"/>
      <c r="G34" s="53"/>
      <c r="H34" s="53"/>
      <c r="I34" s="53"/>
      <c r="J34" s="53"/>
      <c r="K34" s="53"/>
      <c r="L34" s="53"/>
      <c r="M34" s="53"/>
      <c r="N34" s="53" t="s">
        <v>140</v>
      </c>
      <c r="O34" s="53" t="s">
        <v>140</v>
      </c>
      <c r="P34" s="53"/>
      <c r="Q34" s="53"/>
      <c r="R34" s="53"/>
      <c r="S34" s="53" t="s">
        <v>140</v>
      </c>
      <c r="T34" s="53" t="s">
        <v>140</v>
      </c>
      <c r="U34" s="53" t="s">
        <v>140</v>
      </c>
    </row>
    <row r="35" spans="1:21" x14ac:dyDescent="0.35">
      <c r="A35" s="51">
        <v>33</v>
      </c>
      <c r="B35" s="52" t="s">
        <v>172</v>
      </c>
      <c r="C35" s="53" t="s">
        <v>140</v>
      </c>
      <c r="D35" s="53" t="s">
        <v>140</v>
      </c>
      <c r="E35" s="53" t="s">
        <v>140</v>
      </c>
      <c r="F35" s="53" t="s">
        <v>140</v>
      </c>
      <c r="G35" s="53"/>
      <c r="H35" s="53"/>
      <c r="I35" s="53"/>
      <c r="J35" s="53" t="s">
        <v>140</v>
      </c>
      <c r="K35" s="53"/>
      <c r="L35" s="53"/>
      <c r="M35" s="53" t="s">
        <v>140</v>
      </c>
      <c r="N35" s="53"/>
      <c r="O35" s="53" t="s">
        <v>140</v>
      </c>
      <c r="P35" s="53" t="s">
        <v>140</v>
      </c>
      <c r="Q35" s="53"/>
      <c r="R35" s="53"/>
      <c r="S35" s="53"/>
      <c r="T35" s="53"/>
      <c r="U35" s="53"/>
    </row>
    <row r="55" spans="1:17" x14ac:dyDescent="0.35">
      <c r="A55" s="56" t="s">
        <v>63</v>
      </c>
      <c r="B55" s="55" t="s">
        <v>141</v>
      </c>
      <c r="C55" t="s">
        <v>142</v>
      </c>
      <c r="D55" t="s">
        <v>144</v>
      </c>
      <c r="E55" t="s">
        <v>173</v>
      </c>
      <c r="F55" t="s">
        <v>174</v>
      </c>
      <c r="G55" t="s">
        <v>150</v>
      </c>
      <c r="H55" t="s">
        <v>154</v>
      </c>
      <c r="I55" t="s">
        <v>155</v>
      </c>
      <c r="J55" t="s">
        <v>175</v>
      </c>
      <c r="K55" t="s">
        <v>156</v>
      </c>
      <c r="L55" t="s">
        <v>152</v>
      </c>
      <c r="M55" t="s">
        <v>157</v>
      </c>
      <c r="N55" t="s">
        <v>163</v>
      </c>
      <c r="O55" t="s">
        <v>162</v>
      </c>
      <c r="P55" t="s">
        <v>158</v>
      </c>
      <c r="Q55" t="s">
        <v>159</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8</vt:i4>
      </vt:variant>
    </vt:vector>
  </HeadingPairs>
  <TitlesOfParts>
    <vt:vector size="8" baseType="lpstr">
      <vt:lpstr>Template Information</vt:lpstr>
      <vt:lpstr>Asset Inventorization Guideline</vt:lpstr>
      <vt:lpstr>Asset Inventory</vt:lpstr>
      <vt:lpstr>RA Methodology</vt:lpstr>
      <vt:lpstr>Risk Assessment</vt:lpstr>
      <vt:lpstr>Risk Treatment Plan</vt:lpstr>
      <vt:lpstr>Threat Vulnerability database</vt:lpstr>
      <vt:lpstr>Risk &amp; Threat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2016-08-30T10:46:59Z</dcterms:created>
  <dcterms:modified xsi:type="dcterms:W3CDTF">2025-10-10T09:54:54Z</dcterms:modified>
</cp:coreProperties>
</file>